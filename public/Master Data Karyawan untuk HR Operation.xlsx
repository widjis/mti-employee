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erdekabattery-my.sharepoint.com/personal/indah_ayudita_merdekabattery_com/Documents/AI Development/Compensation &amp; Benefit/Contoh/"/>
    </mc:Choice>
  </mc:AlternateContent>
  <xr:revisionPtr revIDLastSave="6" documentId="13_ncr:1_{C7B37D5B-CC98-4143-BA74-3F8F824CB826}" xr6:coauthVersionLast="47" xr6:coauthVersionMax="47" xr10:uidLastSave="{6385F3E8-28D4-4319-9614-BC277CD2427C}"/>
  <bookViews>
    <workbookView xWindow="-108" yWindow="-108" windowWidth="23256" windowHeight="12456" tabRatio="572" activeTab="3" xr2:uid="{00000000-000D-0000-FFFF-FFFF00000000}"/>
  </bookViews>
  <sheets>
    <sheet name="Active Empl (IND)" sheetId="1" r:id="rId1"/>
    <sheet name="Non Active (IND)" sheetId="17" r:id="rId2"/>
    <sheet name="Active Empl (CHN)" sheetId="19" r:id="rId3"/>
    <sheet name="Non Active (CHN)" sheetId="21" r:id="rId4"/>
  </sheets>
  <definedNames>
    <definedName name="_xlnm._FilterDatabase" localSheetId="2" hidden="1">'Active Empl (CHN)'!$A$5:$AC$6</definedName>
    <definedName name="_xlnm._FilterDatabase" localSheetId="0" hidden="1">'Active Empl (IND)'!$A$5:$AK$6</definedName>
    <definedName name="_xlnm._FilterDatabase" localSheetId="3" hidden="1">'Non Active (CHN)'!$A$5:$AC$6</definedName>
    <definedName name="_xlnm._FilterDatabase" localSheetId="1" hidden="1">'Non Active (IND)'!$A$5:$AC$6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1" l="1"/>
  <c r="U6" i="19"/>
  <c r="A1" i="19"/>
  <c r="A1" i="17"/>
  <c r="A1" i="1" l="1"/>
  <c r="AB6" i="1" l="1"/>
  <c r="G6" i="1"/>
  <c r="G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tc={C3F33BE8-DE5C-4537-B158-37145C96B686}</author>
    <author>tc={1CB20736-2155-40FD-AEAA-1E5EC8226281}</author>
  </authors>
  <commentList>
    <comment ref="V3" authorId="0" shapeId="0" xr:uid="{C3F33BE8-DE5C-4537-B158-37145C96B6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Join entity sebelumnya
</t>
      </text>
    </comment>
    <comment ref="X3" authorId="1" shapeId="0" xr:uid="{1CB20736-2155-40FD-AEAA-1E5EC822628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tc={C7685A43-7E1F-4C54-BC40-653D0F29B219}</author>
  </authors>
  <commentList>
    <comment ref="Q3" authorId="0" shapeId="0" xr:uid="{C7685A43-7E1F-4C54-BC40-653D0F29B21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tc={F76CD46B-D086-470C-9BCD-16BD6B10957B}</author>
  </authors>
  <commentList>
    <comment ref="Q3" authorId="0" shapeId="0" xr:uid="{F76CD46B-D086-470C-9BCD-16BD6B10957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tc={31F5E783-39F4-4B55-AC64-7C654BF0BC42}</author>
  </authors>
  <commentList>
    <comment ref="Q3" authorId="0" shapeId="0" xr:uid="{31F5E783-39F4-4B55-AC64-7C654BF0BC4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sharedStrings.xml><?xml version="1.0" encoding="utf-8"?>
<sst xmlns="http://schemas.openxmlformats.org/spreadsheetml/2006/main" count="367" uniqueCount="74">
  <si>
    <t>Emp. ID</t>
  </si>
  <si>
    <t>IMIP ID</t>
  </si>
  <si>
    <t>Employee Name</t>
  </si>
  <si>
    <t>Gender</t>
  </si>
  <si>
    <t>Place of Birth</t>
  </si>
  <si>
    <t>Date of Birth</t>
  </si>
  <si>
    <t>Age</t>
  </si>
  <si>
    <t>Religion</t>
  </si>
  <si>
    <t>Nationality</t>
  </si>
  <si>
    <t>Blood Type</t>
  </si>
  <si>
    <t>Mobile Phone</t>
  </si>
  <si>
    <t>Emergency Contact</t>
  </si>
  <si>
    <t>Email</t>
  </si>
  <si>
    <t>KTP No</t>
  </si>
  <si>
    <t>KTP Address</t>
  </si>
  <si>
    <t>KTP City</t>
  </si>
  <si>
    <t>Poin of Hire</t>
  </si>
  <si>
    <t>Poin of Origin</t>
  </si>
  <si>
    <t>Education</t>
  </si>
  <si>
    <t>Schedule Type</t>
  </si>
  <si>
    <t>First Join Date (Merdeka Group)</t>
  </si>
  <si>
    <t>Transfer Merdeka Group</t>
  </si>
  <si>
    <t>First Join Date</t>
  </si>
  <si>
    <t>Join Date</t>
  </si>
  <si>
    <t>Employment Status</t>
  </si>
  <si>
    <t>End Contract</t>
  </si>
  <si>
    <t>Years in Service</t>
  </si>
  <si>
    <t>Branch ID</t>
  </si>
  <si>
    <t>Branch</t>
  </si>
  <si>
    <t>Division</t>
  </si>
  <si>
    <t>Department</t>
  </si>
  <si>
    <t>Section</t>
  </si>
  <si>
    <t>Direct Report</t>
  </si>
  <si>
    <t>Job Tittle</t>
  </si>
  <si>
    <t>Position Grade</t>
  </si>
  <si>
    <t>Group Job Tittle</t>
  </si>
  <si>
    <t>Contact Name</t>
  </si>
  <si>
    <t>Phone</t>
  </si>
  <si>
    <t>Islam</t>
  </si>
  <si>
    <t>Indonesia</t>
  </si>
  <si>
    <t>S1</t>
  </si>
  <si>
    <t>Permanent</t>
  </si>
  <si>
    <t>MTIDPY </t>
  </si>
  <si>
    <t>Morowali</t>
  </si>
  <si>
    <t>Support &amp; Services</t>
  </si>
  <si>
    <t>Staff</t>
  </si>
  <si>
    <t>B+</t>
  </si>
  <si>
    <t>Officer</t>
  </si>
  <si>
    <t>Female</t>
  </si>
  <si>
    <t>7:2 (07:00-17:00)</t>
  </si>
  <si>
    <t>Wenby Sulaiman</t>
  </si>
  <si>
    <t>Management</t>
  </si>
  <si>
    <t>Balikpapan</t>
  </si>
  <si>
    <t>MTI230004</t>
  </si>
  <si>
    <t>Indah Mutia Ayudita</t>
  </si>
  <si>
    <t>Sampit</t>
  </si>
  <si>
    <t>085746838924</t>
  </si>
  <si>
    <t>RENNY AGUSTINA</t>
  </si>
  <si>
    <t>085349800055</t>
  </si>
  <si>
    <t>indah.ayudita@merdekabattery.com</t>
  </si>
  <si>
    <t>6471046506970006</t>
  </si>
  <si>
    <t>Jl. Padat Karya RT/RW 020/000, Kel. Batu Ampar, Kab. Balikpapan Utara</t>
  </si>
  <si>
    <t>AI Implementation Officer</t>
  </si>
  <si>
    <t>Company Office</t>
  </si>
  <si>
    <t>Work Location</t>
  </si>
  <si>
    <t>Terminated Date</t>
  </si>
  <si>
    <t>Terminated Type</t>
  </si>
  <si>
    <t>Black List MTI</t>
  </si>
  <si>
    <t>Black List IMIP</t>
  </si>
  <si>
    <t>Terminated Reason</t>
  </si>
  <si>
    <t>Emergency Contact Name</t>
  </si>
  <si>
    <t>Emergency Contact Phone</t>
  </si>
  <si>
    <t>Job Title</t>
  </si>
  <si>
    <t>Group 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</si>
</sst>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0_-;\-* #,##0.000_-;_-* &quot;-&quot;_-;_-@_-"/>
    <numFmt numFmtId="165" formatCode="dd\ mmm\ yyyy"/>
  </numFmts>
  <fonts count="2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 Light"/>
      <family val="2"/>
      <scheme val="maj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color indexed="8"/>
      <name val="Calibri Light"/>
      <family val="2"/>
      <scheme val="major"/>
    </font>
    <font>
      <sz val="9"/>
      <color indexed="8"/>
      <name val="Calibri Light"/>
      <family val="2"/>
      <scheme val="major"/>
    </font>
    <font>
      <sz val="11"/>
      <color indexed="8"/>
      <name val="Calibri"/>
      <family val="2"/>
      <charset val="1"/>
    </font>
    <font>
      <b/>
      <sz val="36"/>
      <color indexed="8"/>
      <name val="Arial Black"/>
      <family val="2"/>
    </font>
    <font>
      <sz val="12"/>
      <color indexed="8"/>
      <name val="Calibri"/>
      <family val="2"/>
      <scheme val="minor"/>
    </font>
    <font>
      <b/>
      <sz val="11"/>
      <name val="Aptos Display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0"/>
      <name val="Arial Black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48"/>
      <color indexed="8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1" fontId="3" fillId="0" borderId="0" applyFont="0" applyFill="0" applyBorder="0" applyAlignment="0" applyProtection="0"/>
    <xf numFmtId="0" fontId="9" fillId="0" borderId="1"/>
    <xf numFmtId="0" fontId="12" fillId="0" borderId="1"/>
    <xf numFmtId="0" fontId="2" fillId="0" borderId="1"/>
    <xf numFmtId="0" fontId="3" fillId="0" borderId="1"/>
    <xf numFmtId="41" fontId="3" fillId="0" borderId="1" applyFont="0" applyFill="0" applyBorder="0" applyAlignment="0" applyProtection="0"/>
    <xf numFmtId="0" fontId="8" fillId="0" borderId="1" applyNumberFormat="0" applyFill="0" applyBorder="0" applyAlignment="0" applyProtection="0"/>
    <xf numFmtId="0" fontId="1" fillId="0" borderId="1"/>
  </cellStyleXfs>
  <cellXfs count="52"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165" fontId="17" fillId="3" borderId="4" xfId="0" applyNumberFormat="1" applyFont="1" applyFill="1" applyBorder="1" applyAlignment="1">
      <alignment horizontal="center" vertical="center" wrapText="1"/>
    </xf>
    <xf numFmtId="1" fontId="17" fillId="3" borderId="4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5" fillId="4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/>
    <xf numFmtId="0" fontId="1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vertical="center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165" fontId="15" fillId="4" borderId="3" xfId="0" applyNumberFormat="1" applyFont="1" applyFill="1" applyBorder="1" applyAlignment="1">
      <alignment horizontal="center" vertical="center" wrapText="1"/>
    </xf>
    <xf numFmtId="165" fontId="15" fillId="4" borderId="4" xfId="0" applyNumberFormat="1" applyFont="1" applyFill="1" applyBorder="1" applyAlignment="1">
      <alignment horizontal="center" vertical="center" wrapText="1"/>
    </xf>
    <xf numFmtId="1" fontId="15" fillId="4" borderId="3" xfId="0" applyNumberFormat="1" applyFont="1" applyFill="1" applyBorder="1" applyAlignment="1">
      <alignment horizontal="center" vertical="center" wrapText="1"/>
    </xf>
    <xf numFmtId="1" fontId="15" fillId="4" borderId="4" xfId="0" applyNumberFormat="1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</cellXfs>
  <cellStyles count="9">
    <cellStyle name="Comma [0]" xfId="1" builtinId="6"/>
    <cellStyle name="Comma [0] 2" xfId="6" xr:uid="{C42CA13F-959D-48F7-ABD9-7BA00D79B1BB}"/>
    <cellStyle name="Excel Built-in Normal" xfId="3" xr:uid="{7F05400B-2D1B-418A-9D96-F56BD694007D}"/>
    <cellStyle name="Hyperlink 2" xfId="7" xr:uid="{63A1942B-866A-4100-BBD5-BA79BC44DBF2}"/>
    <cellStyle name="Normal" xfId="0" builtinId="0"/>
    <cellStyle name="Normal 2" xfId="2" xr:uid="{3ECE7845-9890-42C3-A81F-17936720466F}"/>
    <cellStyle name="Normal 3" xfId="4" xr:uid="{BBBF059B-76DA-4B09-8CF7-BAF6134AD8C9}"/>
    <cellStyle name="Normal 3 2" xfId="8" xr:uid="{18F43F04-EBD8-42B2-959A-237D5610F1BD}"/>
    <cellStyle name="Normal 4" xfId="5" xr:uid="{EF0CAD60-6C11-4CE0-A522-05B4B269D279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2</xdr:col>
      <xdr:colOff>553830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30205" cy="473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6</xdr:row>
          <xdr:rowOff>0</xdr:rowOff>
        </xdr:from>
        <xdr:to>
          <xdr:col>14</xdr:col>
          <xdr:colOff>160020</xdr:colOff>
          <xdr:row>7</xdr:row>
          <xdr:rowOff>99060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7</xdr:col>
      <xdr:colOff>0</xdr:colOff>
      <xdr:row>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63150" y="6507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7</xdr:col>
      <xdr:colOff>0</xdr:colOff>
      <xdr:row>6</xdr:row>
      <xdr:rowOff>0</xdr:rowOff>
    </xdr:from>
    <xdr:ext cx="184731" cy="264560"/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57A551CC-CC92-47F6-BC2A-8FFE5029FCC5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0696575" y="5341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1</xdr:col>
      <xdr:colOff>1271380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D64512A-02FE-4576-8D2F-6E2711FB3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6880" cy="47004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152400</xdr:colOff>
      <xdr:row>6</xdr:row>
      <xdr:rowOff>158750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3553"/>
            </a:ext>
            <a:ext uri="{FF2B5EF4-FFF2-40B4-BE49-F238E27FC236}">
              <a16:creationId xmlns:a16="http://schemas.microsoft.com/office/drawing/2014/main" id="{1588E0FA-9DE1-4859-A6CA-7174A8130D5D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5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CD7169-2CCA-4C74-BAC6-FA46553FE08B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5</xdr:col>
      <xdr:colOff>0</xdr:colOff>
      <xdr:row>6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6204691D-C202-4279-857F-1E249E39BC2C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10</xdr:col>
      <xdr:colOff>0</xdr:colOff>
      <xdr:row>6</xdr:row>
      <xdr:rowOff>0</xdr:rowOff>
    </xdr:from>
    <xdr:to>
      <xdr:col>10</xdr:col>
      <xdr:colOff>158750</xdr:colOff>
      <xdr:row>6</xdr:row>
      <xdr:rowOff>165100</xdr:rowOff>
    </xdr:to>
    <xdr:pic>
      <xdr:nvPicPr>
        <xdr:cNvPr id="23553" name="Picture 1">
          <a:extLst>
            <a:ext uri="{FF2B5EF4-FFF2-40B4-BE49-F238E27FC236}">
              <a16:creationId xmlns:a16="http://schemas.microsoft.com/office/drawing/2014/main" id="{C80EFEB1-597A-888E-B2D7-6C89E298B3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54700" y="1885950"/>
          <a:ext cx="158750" cy="165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1</xdr:col>
      <xdr:colOff>1271380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DAC6904-629D-4D23-A83F-663D20C7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6880" cy="47004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149225</xdr:colOff>
      <xdr:row>6</xdr:row>
      <xdr:rowOff>158750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5601"/>
            </a:ext>
            <a:ext uri="{FF2B5EF4-FFF2-40B4-BE49-F238E27FC236}">
              <a16:creationId xmlns:a16="http://schemas.microsoft.com/office/drawing/2014/main" id="{EC71E9CB-ED17-4509-93EA-3B0E2510D68C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5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56872F-CF2D-48A3-8A3B-89DA1F086E23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5</xdr:col>
      <xdr:colOff>0</xdr:colOff>
      <xdr:row>6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9B712A5F-3697-4FD1-8C2B-7DF11651E999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10</xdr:col>
      <xdr:colOff>0</xdr:colOff>
      <xdr:row>6</xdr:row>
      <xdr:rowOff>0</xdr:rowOff>
    </xdr:from>
    <xdr:to>
      <xdr:col>10</xdr:col>
      <xdr:colOff>158750</xdr:colOff>
      <xdr:row>6</xdr:row>
      <xdr:rowOff>165100</xdr:rowOff>
    </xdr:to>
    <xdr:pic>
      <xdr:nvPicPr>
        <xdr:cNvPr id="25601" name="Picture 1">
          <a:extLst>
            <a:ext uri="{FF2B5EF4-FFF2-40B4-BE49-F238E27FC236}">
              <a16:creationId xmlns:a16="http://schemas.microsoft.com/office/drawing/2014/main" id="{EE9E4FB5-4167-4F76-0DB7-DB43ED7795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8550" y="1885950"/>
          <a:ext cx="158750" cy="165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1</xdr:col>
      <xdr:colOff>1271380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95DD2B6-C65B-480B-A1C5-E5B3EF7DB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6880" cy="47004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152400</xdr:colOff>
      <xdr:row>6</xdr:row>
      <xdr:rowOff>158750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3553"/>
            </a:ext>
            <a:ext uri="{FF2B5EF4-FFF2-40B4-BE49-F238E27FC236}">
              <a16:creationId xmlns:a16="http://schemas.microsoft.com/office/drawing/2014/main" id="{6E8B3530-37E9-45B8-8EFB-0D0B0CF4396D}"/>
            </a:ext>
          </a:extLst>
        </xdr:cNvPr>
        <xdr:cNvSpPr/>
      </xdr:nvSpPr>
      <xdr:spPr bwMode="auto">
        <a:xfrm>
          <a:off x="12890500" y="1885950"/>
          <a:ext cx="152400" cy="1587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5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5F03C04-681B-41B3-82AC-FE54123B5EE1}"/>
            </a:ext>
          </a:extLst>
        </xdr:cNvPr>
        <xdr:cNvSpPr txBox="1"/>
      </xdr:nvSpPr>
      <xdr:spPr>
        <a:xfrm>
          <a:off x="6115050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5</xdr:col>
      <xdr:colOff>0</xdr:colOff>
      <xdr:row>6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CD99C367-A445-4247-917C-6E8EC9F0FDC9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6115050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10</xdr:col>
      <xdr:colOff>0</xdr:colOff>
      <xdr:row>6</xdr:row>
      <xdr:rowOff>0</xdr:rowOff>
    </xdr:from>
    <xdr:to>
      <xdr:col>10</xdr:col>
      <xdr:colOff>158750</xdr:colOff>
      <xdr:row>6</xdr:row>
      <xdr:rowOff>165100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E304C2FE-4829-401B-A07F-54394EF5F8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0500" y="1885950"/>
          <a:ext cx="158750" cy="165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ska Novitasari Resdiansah" id="{E0331AC0-E7DC-47FE-BEBF-762C03847FEA}" userId="S::riska.resdiansah@merdekabattery.com::52772d32-5c23-4d57-996c-6b8f6f36e1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3" dT="2024-05-30T23:48:52.37" personId="{E0331AC0-E7DC-47FE-BEBF-762C03847FEA}" id="{C3F33BE8-DE5C-4537-B158-37145C96B686}">
    <text xml:space="preserve">First Join entity sebelumnya
</text>
  </threadedComment>
  <threadedComment ref="X3" dT="2024-04-02T23:16:38.49" personId="{E0331AC0-E7DC-47FE-BEBF-762C03847FEA}" id="{1CB20736-2155-40FD-AEAA-1E5EC8226281}">
    <text>First Join date di MTI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3" dT="2024-04-02T23:16:38.49" personId="{E0331AC0-E7DC-47FE-BEBF-762C03847FEA}" id="{C7685A43-7E1F-4C54-BC40-653D0F29B219}">
    <text>First Join date di MTI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3" dT="2024-04-02T23:16:38.49" personId="{E0331AC0-E7DC-47FE-BEBF-762C03847FEA}" id="{F76CD46B-D086-470C-9BCD-16BD6B10957B}">
    <text>First Join date di MTI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Q3" dT="2024-04-02T23:16:38.49" personId="{E0331AC0-E7DC-47FE-BEBF-762C03847FEA}" id="{31F5E783-39F4-4B55-AC64-7C654BF0BC42}">
    <text>First Join date di MTI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</sheetPr>
  <dimension ref="A1:AK7"/>
  <sheetViews>
    <sheetView zoomScaleNormal="100" zoomScaleSheetLayoutView="70" workbookViewId="0">
      <pane xSplit="3" ySplit="5" topLeftCell="AG6" activePane="bottomRight" state="frozen"/>
      <selection pane="topRight"/>
      <selection pane="bottomLeft" activeCell="A10" sqref="A10"/>
      <selection pane="bottomRight" activeCell="A7" sqref="A7:AK7"/>
    </sheetView>
  </sheetViews>
  <sheetFormatPr defaultColWidth="9.21875" defaultRowHeight="20.100000000000001" customHeight="1" x14ac:dyDescent="0.3"/>
  <cols>
    <col min="1" max="1" width="11.77734375" style="29" customWidth="1"/>
    <col min="2" max="2" width="10.21875" style="29" customWidth="1"/>
    <col min="3" max="3" width="34.5546875" style="33" bestFit="1" customWidth="1"/>
    <col min="4" max="4" width="7.77734375" style="29" customWidth="1"/>
    <col min="5" max="5" width="20.21875" style="29" customWidth="1"/>
    <col min="6" max="6" width="13.21875" style="30" customWidth="1"/>
    <col min="7" max="7" width="12.21875" style="34" customWidth="1"/>
    <col min="8" max="8" width="9.21875" style="29" customWidth="1"/>
    <col min="9" max="9" width="13" style="29" customWidth="1"/>
    <col min="10" max="10" width="7.21875" style="29" customWidth="1"/>
    <col min="11" max="11" width="26.77734375" style="29" customWidth="1"/>
    <col min="12" max="12" width="29.77734375" style="29" customWidth="1"/>
    <col min="13" max="13" width="15" style="29" customWidth="1"/>
    <col min="14" max="14" width="40.77734375" style="35" customWidth="1"/>
    <col min="15" max="15" width="26.5546875" style="29" customWidth="1"/>
    <col min="16" max="16" width="112.44140625" style="28" customWidth="1"/>
    <col min="17" max="17" width="25.77734375" style="29" customWidth="1"/>
    <col min="18" max="18" width="31.5546875" style="29" customWidth="1"/>
    <col min="19" max="19" width="24.21875" style="29" customWidth="1"/>
    <col min="20" max="20" width="12.21875" style="29" customWidth="1"/>
    <col min="21" max="21" width="18.77734375" style="29" customWidth="1"/>
    <col min="22" max="22" width="18.77734375" style="30" customWidth="1"/>
    <col min="23" max="23" width="23.44140625" style="30" customWidth="1"/>
    <col min="24" max="24" width="13.5546875" style="30" customWidth="1"/>
    <col min="25" max="25" width="15.77734375" style="30" customWidth="1"/>
    <col min="26" max="26" width="14.44140625" style="29" customWidth="1"/>
    <col min="27" max="27" width="14.21875" style="30" customWidth="1"/>
    <col min="28" max="28" width="22.77734375" style="29" customWidth="1"/>
    <col min="29" max="29" width="9.5546875" style="29" customWidth="1"/>
    <col min="30" max="30" width="9.77734375" style="29" customWidth="1"/>
    <col min="31" max="31" width="20.21875" style="29" customWidth="1"/>
    <col min="32" max="32" width="30.44140625" style="29" customWidth="1"/>
    <col min="33" max="33" width="41.21875" style="29" customWidth="1"/>
    <col min="34" max="34" width="30.5546875" style="29" customWidth="1"/>
    <col min="35" max="35" width="42" style="29" customWidth="1"/>
    <col min="36" max="36" width="18.77734375" style="29" customWidth="1"/>
    <col min="37" max="37" width="11.5546875" style="29" customWidth="1"/>
    <col min="38" max="16384" width="9.21875" style="36"/>
  </cols>
  <sheetData>
    <row r="1" spans="1:37" customFormat="1" ht="61.2" x14ac:dyDescent="0.3">
      <c r="A1" s="48">
        <f>COUNTA(A6:A6)</f>
        <v>1</v>
      </c>
      <c r="B1" s="48"/>
      <c r="C1" s="31"/>
      <c r="D1" s="10"/>
      <c r="E1" s="3"/>
      <c r="F1" s="4"/>
      <c r="G1" s="5"/>
      <c r="H1" s="3"/>
      <c r="I1" s="3"/>
      <c r="J1" s="3"/>
      <c r="K1" s="3"/>
      <c r="L1" s="3"/>
      <c r="M1" s="3"/>
      <c r="N1" s="26"/>
      <c r="O1" s="3"/>
      <c r="P1" s="9"/>
      <c r="Q1" s="3"/>
      <c r="R1" s="3"/>
      <c r="S1" s="3"/>
      <c r="T1" s="3"/>
      <c r="U1" s="3"/>
      <c r="V1" s="4"/>
      <c r="W1" s="4"/>
      <c r="X1" s="4"/>
      <c r="Y1" s="4"/>
      <c r="Z1" s="3"/>
      <c r="AA1" s="4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customFormat="1" ht="18" customHeight="1" x14ac:dyDescent="0.3">
      <c r="A2" s="3"/>
      <c r="B2" s="8"/>
      <c r="C2" s="8"/>
      <c r="D2" s="8"/>
      <c r="E2" s="8"/>
      <c r="F2" s="8"/>
      <c r="G2" s="6">
        <f ca="1">TODAY()</f>
        <v>45838</v>
      </c>
      <c r="H2" s="8"/>
      <c r="I2" s="8"/>
      <c r="J2" s="8"/>
      <c r="K2" s="3"/>
      <c r="L2" s="3"/>
      <c r="M2" s="3"/>
      <c r="N2" s="26"/>
      <c r="O2" s="3"/>
      <c r="P2" s="3"/>
      <c r="Q2" s="3"/>
      <c r="R2" s="3"/>
      <c r="S2" s="3"/>
      <c r="T2" s="3"/>
      <c r="U2" s="3"/>
      <c r="V2" s="3"/>
      <c r="W2" s="3"/>
      <c r="X2" s="4"/>
      <c r="Y2" s="3"/>
      <c r="Z2" s="3"/>
      <c r="AA2" s="4"/>
      <c r="AB2" s="7"/>
      <c r="AC2" s="3"/>
      <c r="AD2" s="3"/>
      <c r="AE2" s="3"/>
      <c r="AF2" s="3"/>
      <c r="AG2" s="3"/>
      <c r="AH2" s="3"/>
      <c r="AI2" s="3"/>
      <c r="AJ2" s="3"/>
      <c r="AK2" s="3"/>
    </row>
    <row r="3" spans="1:37" s="37" customFormat="1" ht="15.75" customHeight="1" x14ac:dyDescent="0.3">
      <c r="A3" s="51" t="s">
        <v>0</v>
      </c>
      <c r="B3" s="40" t="s">
        <v>1</v>
      </c>
      <c r="C3" s="40" t="s">
        <v>2</v>
      </c>
      <c r="D3" s="40" t="s">
        <v>3</v>
      </c>
      <c r="E3" s="40" t="s">
        <v>4</v>
      </c>
      <c r="F3" s="42" t="s">
        <v>5</v>
      </c>
      <c r="G3" s="44" t="s">
        <v>6</v>
      </c>
      <c r="H3" s="40" t="s">
        <v>7</v>
      </c>
      <c r="I3" s="40" t="s">
        <v>8</v>
      </c>
      <c r="J3" s="40" t="s">
        <v>9</v>
      </c>
      <c r="K3" s="40" t="s">
        <v>10</v>
      </c>
      <c r="L3" s="49" t="s">
        <v>11</v>
      </c>
      <c r="M3" s="50"/>
      <c r="N3" s="46" t="s">
        <v>12</v>
      </c>
      <c r="O3" s="40" t="s">
        <v>13</v>
      </c>
      <c r="P3" s="40" t="s">
        <v>14</v>
      </c>
      <c r="Q3" s="40" t="s">
        <v>15</v>
      </c>
      <c r="R3" s="40" t="s">
        <v>16</v>
      </c>
      <c r="S3" s="40" t="s">
        <v>17</v>
      </c>
      <c r="T3" s="40" t="s">
        <v>18</v>
      </c>
      <c r="U3" s="40" t="s">
        <v>19</v>
      </c>
      <c r="V3" s="42" t="s">
        <v>20</v>
      </c>
      <c r="W3" s="42" t="s">
        <v>21</v>
      </c>
      <c r="X3" s="42" t="s">
        <v>22</v>
      </c>
      <c r="Y3" s="42" t="s">
        <v>23</v>
      </c>
      <c r="Z3" s="40" t="s">
        <v>24</v>
      </c>
      <c r="AA3" s="42" t="s">
        <v>25</v>
      </c>
      <c r="AB3" s="40" t="s">
        <v>26</v>
      </c>
      <c r="AC3" s="40" t="s">
        <v>27</v>
      </c>
      <c r="AD3" s="40" t="s">
        <v>28</v>
      </c>
      <c r="AE3" s="40" t="s">
        <v>29</v>
      </c>
      <c r="AF3" s="40" t="s">
        <v>30</v>
      </c>
      <c r="AG3" s="40" t="s">
        <v>31</v>
      </c>
      <c r="AH3" s="40" t="s">
        <v>32</v>
      </c>
      <c r="AI3" s="40" t="s">
        <v>33</v>
      </c>
      <c r="AJ3" s="40" t="s">
        <v>34</v>
      </c>
      <c r="AK3" s="40" t="s">
        <v>35</v>
      </c>
    </row>
    <row r="4" spans="1:37" s="37" customFormat="1" ht="15.6" customHeight="1" x14ac:dyDescent="0.3">
      <c r="A4" s="51"/>
      <c r="B4" s="41"/>
      <c r="C4" s="41"/>
      <c r="D4" s="41"/>
      <c r="E4" s="41"/>
      <c r="F4" s="43"/>
      <c r="G4" s="45"/>
      <c r="H4" s="41"/>
      <c r="I4" s="41"/>
      <c r="J4" s="41"/>
      <c r="K4" s="41"/>
      <c r="L4" s="25" t="s">
        <v>36</v>
      </c>
      <c r="M4" s="25" t="s">
        <v>37</v>
      </c>
      <c r="N4" s="47"/>
      <c r="O4" s="41"/>
      <c r="P4" s="41"/>
      <c r="Q4" s="41"/>
      <c r="R4" s="41"/>
      <c r="S4" s="41"/>
      <c r="T4" s="41"/>
      <c r="U4" s="41"/>
      <c r="V4" s="43"/>
      <c r="W4" s="43"/>
      <c r="X4" s="43"/>
      <c r="Y4" s="43"/>
      <c r="Z4" s="41"/>
      <c r="AA4" s="43"/>
      <c r="AB4" s="41"/>
      <c r="AC4" s="41"/>
      <c r="AD4" s="41"/>
      <c r="AE4" s="41"/>
      <c r="AF4" s="41"/>
      <c r="AG4" s="41"/>
      <c r="AH4" s="41"/>
      <c r="AI4" s="41"/>
      <c r="AJ4" s="41"/>
      <c r="AK4" s="41"/>
    </row>
    <row r="5" spans="1:37" s="38" customFormat="1" ht="20.100000000000001" customHeight="1" x14ac:dyDescent="0.3">
      <c r="A5" s="11"/>
      <c r="B5" s="11"/>
      <c r="C5" s="11"/>
      <c r="D5" s="12"/>
      <c r="E5" s="12"/>
      <c r="F5" s="13"/>
      <c r="G5" s="14"/>
      <c r="H5" s="12"/>
      <c r="I5" s="12"/>
      <c r="J5" s="12"/>
      <c r="K5" s="12"/>
      <c r="L5" s="15"/>
      <c r="M5" s="15"/>
      <c r="N5" s="27"/>
      <c r="O5" s="12"/>
      <c r="P5" s="12"/>
      <c r="Q5" s="12"/>
      <c r="R5" s="12"/>
      <c r="S5" s="12"/>
      <c r="T5" s="12"/>
      <c r="U5" s="12"/>
      <c r="V5" s="13"/>
      <c r="W5" s="13"/>
      <c r="X5" s="13"/>
      <c r="Y5" s="13"/>
      <c r="Z5" s="12"/>
      <c r="AA5" s="13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s="39" customFormat="1" ht="18" customHeight="1" x14ac:dyDescent="0.3">
      <c r="A6" s="2" t="s">
        <v>53</v>
      </c>
      <c r="B6" s="2">
        <v>83100875</v>
      </c>
      <c r="C6" s="1" t="s">
        <v>54</v>
      </c>
      <c r="D6" s="2" t="s">
        <v>48</v>
      </c>
      <c r="E6" s="2" t="s">
        <v>55</v>
      </c>
      <c r="F6" s="18">
        <v>35606</v>
      </c>
      <c r="G6" s="19">
        <f t="shared" ref="G6" ca="1" si="0">(TODAY()-F6)/365</f>
        <v>28.032876712328768</v>
      </c>
      <c r="H6" s="2" t="s">
        <v>38</v>
      </c>
      <c r="I6" s="2" t="s">
        <v>39</v>
      </c>
      <c r="J6" s="2" t="s">
        <v>46</v>
      </c>
      <c r="K6" s="2" t="s">
        <v>56</v>
      </c>
      <c r="L6" s="2" t="s">
        <v>57</v>
      </c>
      <c r="M6" s="2" t="s">
        <v>58</v>
      </c>
      <c r="N6" s="23" t="s">
        <v>59</v>
      </c>
      <c r="O6" s="2" t="s">
        <v>60</v>
      </c>
      <c r="P6" s="24" t="s">
        <v>61</v>
      </c>
      <c r="Q6" s="16" t="s">
        <v>52</v>
      </c>
      <c r="R6" s="2" t="s">
        <v>52</v>
      </c>
      <c r="S6" s="2" t="s">
        <v>52</v>
      </c>
      <c r="T6" s="16" t="s">
        <v>40</v>
      </c>
      <c r="U6" s="16" t="s">
        <v>49</v>
      </c>
      <c r="V6" s="20"/>
      <c r="W6" s="20"/>
      <c r="X6" s="18">
        <v>44953</v>
      </c>
      <c r="Y6" s="18">
        <v>44953</v>
      </c>
      <c r="Z6" s="2" t="s">
        <v>41</v>
      </c>
      <c r="AA6" s="21"/>
      <c r="AB6" s="22" t="str">
        <f t="shared" ref="AB6" ca="1" si="1">DATEDIF(X6,TODAY(),"y")&amp;"Tahun"&amp; DATEDIF(X6,TODAY(),"YM")&amp;"Bulan" &amp; DATEDIF(X6,TODAY(),"MD")&amp;"Hari"</f>
        <v>2Tahun5Bulan3Hari</v>
      </c>
      <c r="AC6" s="2" t="s">
        <v>42</v>
      </c>
      <c r="AD6" s="2" t="s">
        <v>43</v>
      </c>
      <c r="AE6" s="2" t="s">
        <v>44</v>
      </c>
      <c r="AF6" s="2" t="s">
        <v>51</v>
      </c>
      <c r="AG6" s="2" t="s">
        <v>44</v>
      </c>
      <c r="AH6" s="23" t="s">
        <v>50</v>
      </c>
      <c r="AI6" s="2" t="s">
        <v>62</v>
      </c>
      <c r="AJ6" s="2" t="s">
        <v>47</v>
      </c>
      <c r="AK6" s="2" t="s">
        <v>45</v>
      </c>
    </row>
    <row r="7" spans="1:37" ht="20.100000000000001" customHeight="1" x14ac:dyDescent="0.3">
      <c r="A7" s="29" t="s">
        <v>0</v>
      </c>
      <c r="B7" s="29" t="s">
        <v>1</v>
      </c>
      <c r="C7" s="33" t="s">
        <v>2</v>
      </c>
      <c r="D7" s="29" t="s">
        <v>3</v>
      </c>
      <c r="E7" s="29" t="s">
        <v>4</v>
      </c>
      <c r="F7" s="30" t="s">
        <v>5</v>
      </c>
      <c r="G7" s="34" t="s">
        <v>6</v>
      </c>
      <c r="H7" s="29" t="s">
        <v>7</v>
      </c>
      <c r="I7" s="29" t="s">
        <v>8</v>
      </c>
      <c r="J7" s="29" t="s">
        <v>9</v>
      </c>
      <c r="K7" s="29" t="s">
        <v>10</v>
      </c>
      <c r="L7" s="29" t="s">
        <v>70</v>
      </c>
      <c r="M7" s="29" t="s">
        <v>71</v>
      </c>
      <c r="N7" s="35" t="s">
        <v>12</v>
      </c>
      <c r="O7" s="29" t="s">
        <v>13</v>
      </c>
      <c r="P7" s="28" t="s">
        <v>14</v>
      </c>
      <c r="Q7" s="29" t="s">
        <v>15</v>
      </c>
      <c r="R7" s="29" t="s">
        <v>16</v>
      </c>
      <c r="S7" s="29" t="s">
        <v>17</v>
      </c>
      <c r="T7" s="29" t="s">
        <v>18</v>
      </c>
      <c r="U7" s="29" t="s">
        <v>19</v>
      </c>
      <c r="V7" s="30" t="s">
        <v>20</v>
      </c>
      <c r="W7" s="30" t="s">
        <v>21</v>
      </c>
      <c r="X7" s="30" t="s">
        <v>22</v>
      </c>
      <c r="Y7" s="30" t="s">
        <v>23</v>
      </c>
      <c r="Z7" s="29" t="s">
        <v>24</v>
      </c>
      <c r="AA7" s="30" t="s">
        <v>25</v>
      </c>
      <c r="AB7" s="29" t="s">
        <v>26</v>
      </c>
      <c r="AC7" s="29" t="s">
        <v>27</v>
      </c>
      <c r="AD7" s="29" t="s">
        <v>28</v>
      </c>
      <c r="AE7" s="29" t="s">
        <v>29</v>
      </c>
      <c r="AF7" s="29" t="s">
        <v>30</v>
      </c>
      <c r="AG7" s="29" t="s">
        <v>31</v>
      </c>
      <c r="AH7" s="29" t="s">
        <v>32</v>
      </c>
      <c r="AI7" s="29" t="s">
        <v>72</v>
      </c>
      <c r="AJ7" s="29" t="s">
        <v>34</v>
      </c>
      <c r="AK7" s="29" t="s">
        <v>73</v>
      </c>
    </row>
  </sheetData>
  <autoFilter ref="A5:AK6" xr:uid="{00000000-0001-0000-0000-000000000000}"/>
  <sortState xmlns:xlrd2="http://schemas.microsoft.com/office/spreadsheetml/2017/richdata2" ref="A6:AK6">
    <sortCondition ref="A6"/>
  </sortState>
  <mergeCells count="37">
    <mergeCell ref="B3:B4"/>
    <mergeCell ref="I3:I4"/>
    <mergeCell ref="AK3:AK4"/>
    <mergeCell ref="Q3:Q4"/>
    <mergeCell ref="Y3:Y4"/>
    <mergeCell ref="V3:V4"/>
    <mergeCell ref="A1:B1"/>
    <mergeCell ref="D3:D4"/>
    <mergeCell ref="O3:O4"/>
    <mergeCell ref="P3:P4"/>
    <mergeCell ref="W3:W4"/>
    <mergeCell ref="L3:M3"/>
    <mergeCell ref="A3:A4"/>
    <mergeCell ref="C3:C4"/>
    <mergeCell ref="E3:E4"/>
    <mergeCell ref="H3:H4"/>
    <mergeCell ref="J3:J4"/>
    <mergeCell ref="K3:K4"/>
    <mergeCell ref="AF3:AF4"/>
    <mergeCell ref="AG3:AG4"/>
    <mergeCell ref="AH3:AH4"/>
    <mergeCell ref="AI3:AI4"/>
    <mergeCell ref="AJ3:AJ4"/>
    <mergeCell ref="AE3:AE4"/>
    <mergeCell ref="F3:F4"/>
    <mergeCell ref="G3:G4"/>
    <mergeCell ref="AB3:AB4"/>
    <mergeCell ref="AD3:AD4"/>
    <mergeCell ref="S3:S4"/>
    <mergeCell ref="R3:R4"/>
    <mergeCell ref="N3:N4"/>
    <mergeCell ref="U3:U4"/>
    <mergeCell ref="T3:T4"/>
    <mergeCell ref="Z3:Z4"/>
    <mergeCell ref="AA3:AA4"/>
    <mergeCell ref="AC3:AC4"/>
    <mergeCell ref="X3:X4"/>
  </mergeCells>
  <phoneticPr fontId="7" type="noConversion"/>
  <pageMargins left="0.7" right="0.7" top="0.75" bottom="0.75" header="0.3" footer="0.3"/>
  <pageSetup paperSize="9" scale="10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14</xdr:col>
                <xdr:colOff>0</xdr:colOff>
                <xdr:row>6</xdr:row>
                <xdr:rowOff>0</xdr:rowOff>
              </from>
              <to>
                <xdr:col>14</xdr:col>
                <xdr:colOff>160020</xdr:colOff>
                <xdr:row>7</xdr:row>
                <xdr:rowOff>99060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B53E-4539-4006-B777-07CEA07FF068}">
  <sheetPr>
    <tabColor theme="5"/>
  </sheetPr>
  <dimension ref="A1:AH7"/>
  <sheetViews>
    <sheetView zoomScaleNormal="100" zoomScaleSheetLayoutView="70" workbookViewId="0">
      <pane xSplit="2" ySplit="5" topLeftCell="Z6" activePane="bottomRight" state="frozen"/>
      <selection pane="topRight"/>
      <selection pane="bottomLeft" activeCell="A10" sqref="A10"/>
      <selection pane="bottomRight" activeCell="A7" sqref="A7:AH7"/>
    </sheetView>
  </sheetViews>
  <sheetFormatPr defaultColWidth="9.21875" defaultRowHeight="20.100000000000001" customHeight="1" x14ac:dyDescent="0.3"/>
  <cols>
    <col min="1" max="1" width="11.77734375" style="29" customWidth="1"/>
    <col min="2" max="2" width="34.5546875" style="33" bestFit="1" customWidth="1"/>
    <col min="3" max="3" width="7.77734375" style="29" customWidth="1"/>
    <col min="4" max="4" width="20.21875" style="29" customWidth="1"/>
    <col min="5" max="5" width="13.21875" style="30" customWidth="1"/>
    <col min="6" max="6" width="9.21875" style="29" customWidth="1"/>
    <col min="7" max="7" width="13" style="29" customWidth="1"/>
    <col min="8" max="8" width="7.21875" style="29" customWidth="1"/>
    <col min="9" max="9" width="26.77734375" style="29" customWidth="1"/>
    <col min="10" max="10" width="40.77734375" style="35" customWidth="1"/>
    <col min="11" max="11" width="26.5546875" style="29" customWidth="1"/>
    <col min="12" max="12" width="112.44140625" style="28" customWidth="1"/>
    <col min="13" max="13" width="25.77734375" style="29" customWidth="1"/>
    <col min="14" max="14" width="31.5546875" style="29" customWidth="1"/>
    <col min="15" max="15" width="24.21875" style="29" customWidth="1"/>
    <col min="16" max="16" width="12.21875" style="29" customWidth="1"/>
    <col min="17" max="17" width="13.5546875" style="30" customWidth="1"/>
    <col min="18" max="18" width="15.77734375" style="30" customWidth="1"/>
    <col min="19" max="19" width="14.44140625" style="29" customWidth="1"/>
    <col min="20" max="20" width="14.21875" style="30" customWidth="1"/>
    <col min="21" max="21" width="9.5546875" style="29" customWidth="1"/>
    <col min="22" max="22" width="9.77734375" style="29" customWidth="1"/>
    <col min="23" max="23" width="20.21875" style="29" customWidth="1"/>
    <col min="24" max="24" width="30.44140625" style="29" customWidth="1"/>
    <col min="25" max="25" width="41.21875" style="29" customWidth="1"/>
    <col min="26" max="26" width="30.5546875" style="29" customWidth="1"/>
    <col min="27" max="27" width="42" style="29" customWidth="1"/>
    <col min="28" max="28" width="18.77734375" style="29" customWidth="1"/>
    <col min="29" max="29" width="11.5546875" style="29" customWidth="1"/>
    <col min="30" max="30" width="12" style="36" customWidth="1"/>
    <col min="31" max="32" width="13.6640625" style="36" customWidth="1"/>
    <col min="33" max="33" width="11.88671875" style="36" customWidth="1"/>
    <col min="34" max="34" width="11.44140625" style="36" customWidth="1"/>
    <col min="35" max="16384" width="9.21875" style="36"/>
  </cols>
  <sheetData>
    <row r="1" spans="1:34" customFormat="1" ht="61.2" x14ac:dyDescent="0.3">
      <c r="A1" s="32">
        <f>COUNTA(A6:A6)</f>
        <v>1</v>
      </c>
      <c r="B1" s="31"/>
      <c r="C1" s="10"/>
      <c r="D1" s="3"/>
      <c r="E1" s="4"/>
      <c r="F1" s="3"/>
      <c r="G1" s="3"/>
      <c r="H1" s="3"/>
      <c r="I1" s="3"/>
      <c r="J1" s="26"/>
      <c r="K1" s="3"/>
      <c r="L1" s="9"/>
      <c r="M1" s="3"/>
      <c r="N1" s="3"/>
      <c r="O1" s="3"/>
      <c r="P1" s="3"/>
      <c r="Q1" s="4"/>
      <c r="R1" s="4"/>
      <c r="S1" s="3"/>
      <c r="T1" s="4"/>
      <c r="U1" s="3"/>
      <c r="V1" s="3"/>
      <c r="W1" s="3"/>
      <c r="X1" s="3"/>
      <c r="Y1" s="3"/>
      <c r="Z1" s="3"/>
      <c r="AA1" s="3"/>
      <c r="AB1" s="3"/>
      <c r="AC1" s="3"/>
    </row>
    <row r="2" spans="1:34" customFormat="1" ht="18" customHeight="1" x14ac:dyDescent="0.3">
      <c r="A2" s="3"/>
      <c r="B2" s="8"/>
      <c r="C2" s="8"/>
      <c r="D2" s="8"/>
      <c r="E2" s="8"/>
      <c r="F2" s="8"/>
      <c r="G2" s="8"/>
      <c r="H2" s="8"/>
      <c r="I2" s="3"/>
      <c r="J2" s="26"/>
      <c r="K2" s="3"/>
      <c r="L2" s="3"/>
      <c r="M2" s="3"/>
      <c r="N2" s="3"/>
      <c r="O2" s="3"/>
      <c r="P2" s="3"/>
      <c r="Q2" s="4"/>
      <c r="R2" s="3"/>
      <c r="S2" s="3"/>
      <c r="T2" s="4"/>
      <c r="U2" s="3"/>
      <c r="V2" s="3"/>
      <c r="W2" s="3"/>
      <c r="X2" s="3"/>
      <c r="Y2" s="3"/>
      <c r="Z2" s="3"/>
      <c r="AA2" s="3"/>
      <c r="AB2" s="3"/>
      <c r="AC2" s="3"/>
    </row>
    <row r="3" spans="1:34" s="37" customFormat="1" ht="15.75" customHeight="1" x14ac:dyDescent="0.3">
      <c r="A3" s="51" t="s">
        <v>0</v>
      </c>
      <c r="B3" s="40" t="s">
        <v>2</v>
      </c>
      <c r="C3" s="40" t="s">
        <v>3</v>
      </c>
      <c r="D3" s="40" t="s">
        <v>4</v>
      </c>
      <c r="E3" s="42" t="s">
        <v>5</v>
      </c>
      <c r="F3" s="40" t="s">
        <v>7</v>
      </c>
      <c r="G3" s="40" t="s">
        <v>8</v>
      </c>
      <c r="H3" s="40" t="s">
        <v>9</v>
      </c>
      <c r="I3" s="40" t="s">
        <v>10</v>
      </c>
      <c r="J3" s="46" t="s">
        <v>12</v>
      </c>
      <c r="K3" s="40" t="s">
        <v>13</v>
      </c>
      <c r="L3" s="40" t="s">
        <v>14</v>
      </c>
      <c r="M3" s="40" t="s">
        <v>15</v>
      </c>
      <c r="N3" s="40" t="s">
        <v>16</v>
      </c>
      <c r="O3" s="40" t="s">
        <v>17</v>
      </c>
      <c r="P3" s="40" t="s">
        <v>18</v>
      </c>
      <c r="Q3" s="42" t="s">
        <v>22</v>
      </c>
      <c r="R3" s="42" t="s">
        <v>23</v>
      </c>
      <c r="S3" s="40" t="s">
        <v>24</v>
      </c>
      <c r="T3" s="42" t="s">
        <v>25</v>
      </c>
      <c r="U3" s="40" t="s">
        <v>27</v>
      </c>
      <c r="V3" s="40" t="s">
        <v>28</v>
      </c>
      <c r="W3" s="40" t="s">
        <v>29</v>
      </c>
      <c r="X3" s="40" t="s">
        <v>30</v>
      </c>
      <c r="Y3" s="40" t="s">
        <v>31</v>
      </c>
      <c r="Z3" s="40" t="s">
        <v>32</v>
      </c>
      <c r="AA3" s="40" t="s">
        <v>33</v>
      </c>
      <c r="AB3" s="40" t="s">
        <v>34</v>
      </c>
      <c r="AC3" s="40" t="s">
        <v>35</v>
      </c>
      <c r="AD3" s="40" t="s">
        <v>65</v>
      </c>
      <c r="AE3" s="40" t="s">
        <v>66</v>
      </c>
      <c r="AF3" s="40" t="s">
        <v>69</v>
      </c>
      <c r="AG3" s="40" t="s">
        <v>67</v>
      </c>
      <c r="AH3" s="40" t="s">
        <v>68</v>
      </c>
    </row>
    <row r="4" spans="1:34" s="37" customFormat="1" ht="15.6" customHeight="1" x14ac:dyDescent="0.3">
      <c r="A4" s="51"/>
      <c r="B4" s="41"/>
      <c r="C4" s="41"/>
      <c r="D4" s="41"/>
      <c r="E4" s="43"/>
      <c r="F4" s="41"/>
      <c r="G4" s="41"/>
      <c r="H4" s="41"/>
      <c r="I4" s="41"/>
      <c r="J4" s="47"/>
      <c r="K4" s="41"/>
      <c r="L4" s="41"/>
      <c r="M4" s="41"/>
      <c r="N4" s="41"/>
      <c r="O4" s="41"/>
      <c r="P4" s="41"/>
      <c r="Q4" s="43"/>
      <c r="R4" s="43"/>
      <c r="S4" s="41"/>
      <c r="T4" s="43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</row>
    <row r="5" spans="1:34" s="38" customFormat="1" ht="20.100000000000001" customHeight="1" x14ac:dyDescent="0.3">
      <c r="A5" s="11"/>
      <c r="B5" s="11"/>
      <c r="C5" s="12"/>
      <c r="D5" s="12"/>
      <c r="E5" s="13"/>
      <c r="F5" s="12"/>
      <c r="G5" s="12"/>
      <c r="H5" s="12"/>
      <c r="I5" s="12"/>
      <c r="J5" s="27"/>
      <c r="K5" s="12"/>
      <c r="L5" s="12"/>
      <c r="M5" s="12"/>
      <c r="N5" s="12"/>
      <c r="O5" s="12"/>
      <c r="P5" s="12"/>
      <c r="Q5" s="13"/>
      <c r="R5" s="13"/>
      <c r="S5" s="12"/>
      <c r="T5" s="1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spans="1:34" s="39" customFormat="1" ht="18" customHeight="1" x14ac:dyDescent="0.3">
      <c r="A6" s="2" t="s">
        <v>53</v>
      </c>
      <c r="B6" s="1" t="s">
        <v>54</v>
      </c>
      <c r="C6" s="2" t="s">
        <v>48</v>
      </c>
      <c r="D6" s="2" t="s">
        <v>55</v>
      </c>
      <c r="E6" s="18">
        <v>35606</v>
      </c>
      <c r="F6" s="2" t="s">
        <v>38</v>
      </c>
      <c r="G6" s="2" t="s">
        <v>39</v>
      </c>
      <c r="H6" s="2" t="s">
        <v>46</v>
      </c>
      <c r="I6" s="2" t="s">
        <v>56</v>
      </c>
      <c r="J6" s="23" t="s">
        <v>59</v>
      </c>
      <c r="K6" s="2" t="s">
        <v>60</v>
      </c>
      <c r="L6" s="24" t="s">
        <v>61</v>
      </c>
      <c r="M6" s="16" t="s">
        <v>52</v>
      </c>
      <c r="N6" s="2" t="s">
        <v>52</v>
      </c>
      <c r="O6" s="2" t="s">
        <v>52</v>
      </c>
      <c r="P6" s="16" t="s">
        <v>40</v>
      </c>
      <c r="Q6" s="18">
        <v>44953</v>
      </c>
      <c r="R6" s="18">
        <v>44953</v>
      </c>
      <c r="S6" s="2" t="s">
        <v>41</v>
      </c>
      <c r="T6" s="21"/>
      <c r="U6" s="2" t="s">
        <v>42</v>
      </c>
      <c r="V6" s="2" t="s">
        <v>43</v>
      </c>
      <c r="W6" s="2" t="s">
        <v>44</v>
      </c>
      <c r="X6" s="2" t="s">
        <v>51</v>
      </c>
      <c r="Y6" s="2" t="s">
        <v>44</v>
      </c>
      <c r="Z6" s="23" t="s">
        <v>50</v>
      </c>
      <c r="AA6" s="2" t="s">
        <v>62</v>
      </c>
      <c r="AB6" s="2" t="s">
        <v>47</v>
      </c>
      <c r="AC6" s="2" t="s">
        <v>45</v>
      </c>
      <c r="AD6" s="17"/>
      <c r="AE6" s="17"/>
      <c r="AF6" s="17"/>
      <c r="AG6" s="17"/>
      <c r="AH6" s="17"/>
    </row>
    <row r="7" spans="1:34" ht="20.100000000000001" customHeight="1" x14ac:dyDescent="0.3">
      <c r="A7" s="29" t="s">
        <v>0</v>
      </c>
      <c r="B7" s="33" t="s">
        <v>2</v>
      </c>
      <c r="C7" s="29" t="s">
        <v>3</v>
      </c>
      <c r="D7" s="29" t="s">
        <v>4</v>
      </c>
      <c r="E7" s="30" t="s">
        <v>5</v>
      </c>
      <c r="F7" s="29" t="s">
        <v>7</v>
      </c>
      <c r="G7" s="29" t="s">
        <v>8</v>
      </c>
      <c r="H7" s="29" t="s">
        <v>9</v>
      </c>
      <c r="I7" s="29" t="s">
        <v>10</v>
      </c>
      <c r="J7" s="35" t="s">
        <v>12</v>
      </c>
      <c r="K7" s="29" t="s">
        <v>13</v>
      </c>
      <c r="L7" s="28" t="s">
        <v>14</v>
      </c>
      <c r="M7" s="29" t="s">
        <v>15</v>
      </c>
      <c r="N7" s="29" t="s">
        <v>16</v>
      </c>
      <c r="O7" s="29" t="s">
        <v>17</v>
      </c>
      <c r="P7" s="29" t="s">
        <v>18</v>
      </c>
      <c r="Q7" s="30" t="s">
        <v>22</v>
      </c>
      <c r="R7" s="30" t="s">
        <v>23</v>
      </c>
      <c r="S7" s="29" t="s">
        <v>24</v>
      </c>
      <c r="T7" s="30" t="s">
        <v>25</v>
      </c>
      <c r="U7" s="29" t="s">
        <v>27</v>
      </c>
      <c r="V7" s="29" t="s">
        <v>28</v>
      </c>
      <c r="W7" s="29" t="s">
        <v>29</v>
      </c>
      <c r="X7" s="29" t="s">
        <v>30</v>
      </c>
      <c r="Y7" s="29" t="s">
        <v>31</v>
      </c>
      <c r="Z7" s="29" t="s">
        <v>32</v>
      </c>
      <c r="AA7" s="29" t="s">
        <v>72</v>
      </c>
      <c r="AB7" s="29" t="s">
        <v>34</v>
      </c>
      <c r="AC7" s="29" t="s">
        <v>73</v>
      </c>
      <c r="AD7" s="36" t="s">
        <v>65</v>
      </c>
      <c r="AE7" s="36" t="s">
        <v>66</v>
      </c>
      <c r="AF7" s="36" t="s">
        <v>69</v>
      </c>
      <c r="AG7" s="36" t="s">
        <v>67</v>
      </c>
      <c r="AH7" s="36" t="s">
        <v>68</v>
      </c>
    </row>
  </sheetData>
  <autoFilter ref="A5:AC6" xr:uid="{00000000-0001-0000-0000-000000000000}"/>
  <mergeCells count="34">
    <mergeCell ref="AB3:AB4"/>
    <mergeCell ref="AC3:AC4"/>
    <mergeCell ref="AH3:AH4"/>
    <mergeCell ref="AF3:AF4"/>
    <mergeCell ref="AD3:AD4"/>
    <mergeCell ref="AE3:AE4"/>
    <mergeCell ref="AG3:AG4"/>
    <mergeCell ref="W3:W4"/>
    <mergeCell ref="X3:X4"/>
    <mergeCell ref="Y3:Y4"/>
    <mergeCell ref="Z3:Z4"/>
    <mergeCell ref="AA3:AA4"/>
    <mergeCell ref="V3:V4"/>
    <mergeCell ref="O3:O4"/>
    <mergeCell ref="P3:P4"/>
    <mergeCell ref="Q3:Q4"/>
    <mergeCell ref="R3:R4"/>
    <mergeCell ref="S3:S4"/>
    <mergeCell ref="T3:T4"/>
    <mergeCell ref="U3:U4"/>
    <mergeCell ref="N3:N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scale="1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B1C5-BE18-4513-B3EC-4CB2E75CC22A}">
  <sheetPr>
    <tabColor theme="5"/>
  </sheetPr>
  <dimension ref="A1:AC7"/>
  <sheetViews>
    <sheetView zoomScaleNormal="100" zoomScaleSheetLayoutView="70" workbookViewId="0">
      <pane xSplit="2" ySplit="5" topLeftCell="Z6" activePane="bottomRight" state="frozen"/>
      <selection pane="topRight"/>
      <selection pane="bottomLeft" activeCell="A10" sqref="A10"/>
      <selection pane="bottomRight" activeCell="AC7" sqref="AC7"/>
    </sheetView>
  </sheetViews>
  <sheetFormatPr defaultColWidth="9.21875" defaultRowHeight="20.100000000000001" customHeight="1" x14ac:dyDescent="0.3"/>
  <cols>
    <col min="1" max="1" width="11.77734375" style="29" customWidth="1"/>
    <col min="2" max="2" width="34.5546875" style="33" bestFit="1" customWidth="1"/>
    <col min="3" max="3" width="7.77734375" style="29" customWidth="1"/>
    <col min="4" max="4" width="20.21875" style="29" customWidth="1"/>
    <col min="5" max="5" width="13.21875" style="30" customWidth="1"/>
    <col min="6" max="6" width="9.21875" style="29" customWidth="1"/>
    <col min="7" max="7" width="13" style="29" customWidth="1"/>
    <col min="8" max="8" width="7.21875" style="29" customWidth="1"/>
    <col min="9" max="9" width="26.77734375" style="29" customWidth="1"/>
    <col min="10" max="10" width="40.77734375" style="35" customWidth="1"/>
    <col min="11" max="11" width="26.5546875" style="29" customWidth="1"/>
    <col min="12" max="12" width="112.44140625" style="28" customWidth="1"/>
    <col min="13" max="13" width="25.77734375" style="29" customWidth="1"/>
    <col min="14" max="14" width="31.5546875" style="29" customWidth="1"/>
    <col min="15" max="15" width="24.21875" style="29" customWidth="1"/>
    <col min="16" max="16" width="12.21875" style="29" customWidth="1"/>
    <col min="17" max="17" width="13.5546875" style="30" customWidth="1"/>
    <col min="18" max="18" width="15.77734375" style="30" customWidth="1"/>
    <col min="19" max="19" width="14.44140625" style="29" customWidth="1"/>
    <col min="20" max="20" width="14.21875" style="30" customWidth="1"/>
    <col min="21" max="21" width="22.77734375" style="29" customWidth="1"/>
    <col min="22" max="22" width="9.5546875" style="29" customWidth="1"/>
    <col min="23" max="23" width="9.77734375" style="29" customWidth="1"/>
    <col min="24" max="24" width="20.21875" style="29" customWidth="1"/>
    <col min="25" max="25" width="30.44140625" style="29" customWidth="1"/>
    <col min="26" max="26" width="41.21875" style="29" customWidth="1"/>
    <col min="27" max="27" width="30.5546875" style="29" customWidth="1"/>
    <col min="28" max="28" width="42" style="29" customWidth="1"/>
    <col min="29" max="29" width="18.77734375" style="29" customWidth="1"/>
    <col min="30" max="16384" width="9.21875" style="36"/>
  </cols>
  <sheetData>
    <row r="1" spans="1:29" customFormat="1" ht="61.2" x14ac:dyDescent="0.3">
      <c r="A1" s="32">
        <f>COUNTA(A6:A6)</f>
        <v>1</v>
      </c>
      <c r="B1" s="31"/>
      <c r="C1" s="10"/>
      <c r="D1" s="3"/>
      <c r="E1" s="4"/>
      <c r="F1" s="3"/>
      <c r="G1" s="3"/>
      <c r="H1" s="3"/>
      <c r="I1" s="3"/>
      <c r="J1" s="26"/>
      <c r="K1" s="3"/>
      <c r="L1" s="9"/>
      <c r="M1" s="3"/>
      <c r="N1" s="3"/>
      <c r="O1" s="3"/>
      <c r="P1" s="3"/>
      <c r="Q1" s="4"/>
      <c r="R1" s="4"/>
      <c r="S1" s="3"/>
      <c r="T1" s="4"/>
      <c r="U1" s="3"/>
      <c r="V1" s="3"/>
      <c r="W1" s="3"/>
      <c r="X1" s="3"/>
      <c r="Y1" s="3"/>
      <c r="Z1" s="3"/>
      <c r="AA1" s="3"/>
      <c r="AB1" s="3"/>
      <c r="AC1" s="3"/>
    </row>
    <row r="2" spans="1:29" customFormat="1" ht="18" customHeight="1" x14ac:dyDescent="0.3">
      <c r="A2" s="3"/>
      <c r="B2" s="8"/>
      <c r="C2" s="8"/>
      <c r="D2" s="8"/>
      <c r="E2" s="8"/>
      <c r="F2" s="8"/>
      <c r="G2" s="8"/>
      <c r="H2" s="8"/>
      <c r="I2" s="3"/>
      <c r="J2" s="26"/>
      <c r="K2" s="3"/>
      <c r="L2" s="3"/>
      <c r="M2" s="3"/>
      <c r="N2" s="3"/>
      <c r="O2" s="3"/>
      <c r="P2" s="3"/>
      <c r="Q2" s="4"/>
      <c r="R2" s="3"/>
      <c r="S2" s="3"/>
      <c r="T2" s="4"/>
      <c r="U2" s="7"/>
      <c r="V2" s="3"/>
      <c r="W2" s="3"/>
      <c r="X2" s="3"/>
      <c r="Y2" s="3"/>
      <c r="Z2" s="3"/>
      <c r="AA2" s="3"/>
      <c r="AB2" s="3"/>
      <c r="AC2" s="3"/>
    </row>
    <row r="3" spans="1:29" s="37" customFormat="1" ht="15.75" customHeight="1" x14ac:dyDescent="0.3">
      <c r="A3" s="51" t="s">
        <v>0</v>
      </c>
      <c r="B3" s="40" t="s">
        <v>2</v>
      </c>
      <c r="C3" s="40" t="s">
        <v>3</v>
      </c>
      <c r="D3" s="40" t="s">
        <v>4</v>
      </c>
      <c r="E3" s="42" t="s">
        <v>5</v>
      </c>
      <c r="F3" s="40" t="s">
        <v>7</v>
      </c>
      <c r="G3" s="40" t="s">
        <v>8</v>
      </c>
      <c r="H3" s="40" t="s">
        <v>9</v>
      </c>
      <c r="I3" s="40" t="s">
        <v>10</v>
      </c>
      <c r="J3" s="46" t="s">
        <v>12</v>
      </c>
      <c r="K3" s="40" t="s">
        <v>13</v>
      </c>
      <c r="L3" s="40" t="s">
        <v>14</v>
      </c>
      <c r="M3" s="40" t="s">
        <v>15</v>
      </c>
      <c r="N3" s="40" t="s">
        <v>16</v>
      </c>
      <c r="O3" s="40" t="s">
        <v>17</v>
      </c>
      <c r="P3" s="40" t="s">
        <v>18</v>
      </c>
      <c r="Q3" s="42" t="s">
        <v>22</v>
      </c>
      <c r="R3" s="42" t="s">
        <v>23</v>
      </c>
      <c r="S3" s="40" t="s">
        <v>24</v>
      </c>
      <c r="T3" s="42" t="s">
        <v>25</v>
      </c>
      <c r="U3" s="40" t="s">
        <v>26</v>
      </c>
      <c r="V3" s="40" t="s">
        <v>63</v>
      </c>
      <c r="W3" s="40" t="s">
        <v>64</v>
      </c>
      <c r="X3" s="40" t="s">
        <v>29</v>
      </c>
      <c r="Y3" s="40" t="s">
        <v>30</v>
      </c>
      <c r="Z3" s="40" t="s">
        <v>31</v>
      </c>
      <c r="AA3" s="40" t="s">
        <v>32</v>
      </c>
      <c r="AB3" s="40" t="s">
        <v>33</v>
      </c>
      <c r="AC3" s="40" t="s">
        <v>34</v>
      </c>
    </row>
    <row r="4" spans="1:29" s="37" customFormat="1" ht="15.6" customHeight="1" x14ac:dyDescent="0.3">
      <c r="A4" s="51"/>
      <c r="B4" s="41"/>
      <c r="C4" s="41"/>
      <c r="D4" s="41"/>
      <c r="E4" s="43"/>
      <c r="F4" s="41"/>
      <c r="G4" s="41"/>
      <c r="H4" s="41"/>
      <c r="I4" s="41"/>
      <c r="J4" s="47"/>
      <c r="K4" s="41"/>
      <c r="L4" s="41"/>
      <c r="M4" s="41"/>
      <c r="N4" s="41"/>
      <c r="O4" s="41"/>
      <c r="P4" s="41"/>
      <c r="Q4" s="43"/>
      <c r="R4" s="43"/>
      <c r="S4" s="41"/>
      <c r="T4" s="43"/>
      <c r="U4" s="41"/>
      <c r="V4" s="41"/>
      <c r="W4" s="41"/>
      <c r="X4" s="41"/>
      <c r="Y4" s="41"/>
      <c r="Z4" s="41"/>
      <c r="AA4" s="41"/>
      <c r="AB4" s="41"/>
      <c r="AC4" s="41"/>
    </row>
    <row r="5" spans="1:29" s="38" customFormat="1" ht="20.100000000000001" customHeight="1" x14ac:dyDescent="0.3">
      <c r="A5" s="11"/>
      <c r="B5" s="11"/>
      <c r="C5" s="12"/>
      <c r="D5" s="12"/>
      <c r="E5" s="13"/>
      <c r="F5" s="12"/>
      <c r="G5" s="12"/>
      <c r="H5" s="12"/>
      <c r="I5" s="12"/>
      <c r="J5" s="27"/>
      <c r="K5" s="12"/>
      <c r="L5" s="12"/>
      <c r="M5" s="12"/>
      <c r="N5" s="12"/>
      <c r="O5" s="12"/>
      <c r="P5" s="12"/>
      <c r="Q5" s="13"/>
      <c r="R5" s="13"/>
      <c r="S5" s="12"/>
      <c r="T5" s="13"/>
      <c r="U5" s="12"/>
      <c r="V5" s="12"/>
      <c r="W5" s="12"/>
      <c r="X5" s="12"/>
      <c r="Y5" s="12"/>
      <c r="Z5" s="12"/>
      <c r="AA5" s="12"/>
      <c r="AB5" s="12"/>
      <c r="AC5" s="12"/>
    </row>
    <row r="6" spans="1:29" s="39" customFormat="1" ht="18" customHeight="1" x14ac:dyDescent="0.3">
      <c r="A6" s="2" t="s">
        <v>53</v>
      </c>
      <c r="B6" s="1" t="s">
        <v>54</v>
      </c>
      <c r="C6" s="2" t="s">
        <v>48</v>
      </c>
      <c r="D6" s="2" t="s">
        <v>55</v>
      </c>
      <c r="E6" s="18">
        <v>35606</v>
      </c>
      <c r="F6" s="2" t="s">
        <v>38</v>
      </c>
      <c r="G6" s="2" t="s">
        <v>39</v>
      </c>
      <c r="H6" s="2" t="s">
        <v>46</v>
      </c>
      <c r="I6" s="2" t="s">
        <v>56</v>
      </c>
      <c r="J6" s="23" t="s">
        <v>59</v>
      </c>
      <c r="K6" s="2" t="s">
        <v>60</v>
      </c>
      <c r="L6" s="24" t="s">
        <v>61</v>
      </c>
      <c r="M6" s="16" t="s">
        <v>52</v>
      </c>
      <c r="N6" s="2" t="s">
        <v>52</v>
      </c>
      <c r="O6" s="2" t="s">
        <v>52</v>
      </c>
      <c r="P6" s="16" t="s">
        <v>40</v>
      </c>
      <c r="Q6" s="18">
        <v>44953</v>
      </c>
      <c r="R6" s="18">
        <v>44953</v>
      </c>
      <c r="S6" s="2" t="s">
        <v>41</v>
      </c>
      <c r="T6" s="21"/>
      <c r="U6" s="22" t="str">
        <f t="shared" ref="U6" ca="1" si="0">DATEDIF(Q6,TODAY(),"y")&amp;"Tahun"&amp; DATEDIF(Q6,TODAY(),"YM")&amp;"Bulan" &amp; DATEDIF(Q6,TODAY(),"MD")&amp;"Hari"</f>
        <v>2Tahun5Bulan3Hari</v>
      </c>
      <c r="V6" s="2" t="s">
        <v>42</v>
      </c>
      <c r="W6" s="2" t="s">
        <v>43</v>
      </c>
      <c r="X6" s="2" t="s">
        <v>44</v>
      </c>
      <c r="Y6" s="2" t="s">
        <v>51</v>
      </c>
      <c r="Z6" s="2" t="s">
        <v>44</v>
      </c>
      <c r="AA6" s="23" t="s">
        <v>50</v>
      </c>
      <c r="AB6" s="2" t="s">
        <v>62</v>
      </c>
      <c r="AC6" s="2" t="s">
        <v>47</v>
      </c>
    </row>
    <row r="7" spans="1:29" ht="20.100000000000001" customHeight="1" x14ac:dyDescent="0.3">
      <c r="A7" s="29" t="s">
        <v>0</v>
      </c>
      <c r="B7" s="33" t="s">
        <v>2</v>
      </c>
      <c r="C7" s="29" t="s">
        <v>3</v>
      </c>
      <c r="D7" s="29" t="s">
        <v>4</v>
      </c>
      <c r="E7" s="30" t="s">
        <v>5</v>
      </c>
      <c r="F7" s="29" t="s">
        <v>7</v>
      </c>
      <c r="G7" s="29" t="s">
        <v>8</v>
      </c>
      <c r="H7" s="29" t="s">
        <v>9</v>
      </c>
      <c r="I7" s="29" t="s">
        <v>10</v>
      </c>
      <c r="J7" s="35" t="s">
        <v>12</v>
      </c>
      <c r="K7" s="29" t="s">
        <v>13</v>
      </c>
      <c r="L7" s="28" t="s">
        <v>14</v>
      </c>
      <c r="M7" s="29" t="s">
        <v>15</v>
      </c>
      <c r="N7" s="29" t="s">
        <v>16</v>
      </c>
      <c r="O7" s="29" t="s">
        <v>17</v>
      </c>
      <c r="P7" s="29" t="s">
        <v>18</v>
      </c>
      <c r="Q7" s="30" t="s">
        <v>22</v>
      </c>
      <c r="R7" s="29" t="s">
        <v>23</v>
      </c>
      <c r="S7" s="30" t="s">
        <v>24</v>
      </c>
      <c r="T7" s="29" t="s">
        <v>25</v>
      </c>
      <c r="U7" s="29" t="s">
        <v>26</v>
      </c>
      <c r="V7" s="29" t="s">
        <v>63</v>
      </c>
      <c r="W7" s="29" t="s">
        <v>64</v>
      </c>
      <c r="X7" s="29" t="s">
        <v>29</v>
      </c>
      <c r="Y7" s="29" t="s">
        <v>30</v>
      </c>
      <c r="Z7" s="29" t="s">
        <v>31</v>
      </c>
      <c r="AA7" s="29" t="s">
        <v>32</v>
      </c>
      <c r="AB7" s="29" t="s">
        <v>72</v>
      </c>
      <c r="AC7" s="36" t="s">
        <v>34</v>
      </c>
    </row>
  </sheetData>
  <autoFilter ref="A5:AC6" xr:uid="{00000000-0001-0000-0000-000000000000}"/>
  <mergeCells count="29">
    <mergeCell ref="U3:U4"/>
    <mergeCell ref="V3:V4"/>
    <mergeCell ref="AC3:AC4"/>
    <mergeCell ref="X3:X4"/>
    <mergeCell ref="Y3:Y4"/>
    <mergeCell ref="Z3:Z4"/>
    <mergeCell ref="AA3:AA4"/>
    <mergeCell ref="AB3:AB4"/>
    <mergeCell ref="F3:F4"/>
    <mergeCell ref="G3:G4"/>
    <mergeCell ref="H3:H4"/>
    <mergeCell ref="I3:I4"/>
    <mergeCell ref="W3:W4"/>
    <mergeCell ref="O3:O4"/>
    <mergeCell ref="P3:P4"/>
    <mergeCell ref="Q3:Q4"/>
    <mergeCell ref="J3:J4"/>
    <mergeCell ref="K3:K4"/>
    <mergeCell ref="L3:L4"/>
    <mergeCell ref="M3:M4"/>
    <mergeCell ref="N3:N4"/>
    <mergeCell ref="R3:R4"/>
    <mergeCell ref="S3:S4"/>
    <mergeCell ref="T3:T4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scale="1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B2BF-28A1-4AC0-9CD0-A3092134BA26}">
  <sheetPr>
    <tabColor theme="5"/>
  </sheetPr>
  <dimension ref="A1:AF7"/>
  <sheetViews>
    <sheetView tabSelected="1" zoomScaleNormal="100" zoomScaleSheetLayoutView="70" workbookViewId="0">
      <pane xSplit="2" ySplit="5" topLeftCell="Z6" activePane="bottomRight" state="frozen"/>
      <selection pane="topRight"/>
      <selection pane="bottomLeft" activeCell="A10" sqref="A10"/>
      <selection pane="bottomRight" activeCell="AF7" sqref="AF7"/>
    </sheetView>
  </sheetViews>
  <sheetFormatPr defaultColWidth="9.21875" defaultRowHeight="20.100000000000001" customHeight="1" x14ac:dyDescent="0.3"/>
  <cols>
    <col min="1" max="1" width="11.77734375" style="29" customWidth="1"/>
    <col min="2" max="2" width="34.5546875" style="33" bestFit="1" customWidth="1"/>
    <col min="3" max="3" width="7.77734375" style="29" customWidth="1"/>
    <col min="4" max="4" width="20.21875" style="29" customWidth="1"/>
    <col min="5" max="5" width="13.21875" style="30" customWidth="1"/>
    <col min="6" max="6" width="9.21875" style="29" customWidth="1"/>
    <col min="7" max="7" width="13" style="29" customWidth="1"/>
    <col min="8" max="8" width="7.21875" style="29" customWidth="1"/>
    <col min="9" max="9" width="26.77734375" style="29" customWidth="1"/>
    <col min="10" max="10" width="40.77734375" style="35" customWidth="1"/>
    <col min="11" max="11" width="26.5546875" style="29" customWidth="1"/>
    <col min="12" max="12" width="112.44140625" style="28" customWidth="1"/>
    <col min="13" max="13" width="25.77734375" style="29" customWidth="1"/>
    <col min="14" max="14" width="31.5546875" style="29" customWidth="1"/>
    <col min="15" max="15" width="24.21875" style="29" customWidth="1"/>
    <col min="16" max="16" width="12.21875" style="29" customWidth="1"/>
    <col min="17" max="17" width="13.5546875" style="30" customWidth="1"/>
    <col min="18" max="18" width="15.77734375" style="30" customWidth="1"/>
    <col min="19" max="19" width="14.44140625" style="29" customWidth="1"/>
    <col min="20" max="20" width="14.21875" style="30" customWidth="1"/>
    <col min="21" max="21" width="9.5546875" style="29" customWidth="1"/>
    <col min="22" max="22" width="9.77734375" style="29" customWidth="1"/>
    <col min="23" max="23" width="20.21875" style="29" customWidth="1"/>
    <col min="24" max="24" width="30.44140625" style="29" customWidth="1"/>
    <col min="25" max="25" width="41.21875" style="29" customWidth="1"/>
    <col min="26" max="26" width="30.5546875" style="29" customWidth="1"/>
    <col min="27" max="27" width="42" style="29" customWidth="1"/>
    <col min="28" max="28" width="18.77734375" style="29" customWidth="1"/>
    <col min="29" max="29" width="11.5546875" style="29" customWidth="1"/>
    <col min="30" max="30" width="12" style="36" customWidth="1"/>
    <col min="31" max="32" width="13.6640625" style="36" customWidth="1"/>
    <col min="33" max="16384" width="9.21875" style="36"/>
  </cols>
  <sheetData>
    <row r="1" spans="1:32" customFormat="1" ht="61.2" x14ac:dyDescent="0.3">
      <c r="A1" s="32">
        <f>COUNTA(A6:A6)</f>
        <v>1</v>
      </c>
      <c r="B1" s="31"/>
      <c r="C1" s="10"/>
      <c r="D1" s="3"/>
      <c r="E1" s="4"/>
      <c r="F1" s="3"/>
      <c r="G1" s="3"/>
      <c r="H1" s="3"/>
      <c r="I1" s="3"/>
      <c r="J1" s="26"/>
      <c r="K1" s="3"/>
      <c r="L1" s="9"/>
      <c r="M1" s="3"/>
      <c r="N1" s="3"/>
      <c r="O1" s="3"/>
      <c r="P1" s="3"/>
      <c r="Q1" s="4"/>
      <c r="R1" s="4"/>
      <c r="S1" s="3"/>
      <c r="T1" s="4"/>
      <c r="U1" s="3"/>
      <c r="V1" s="3"/>
      <c r="W1" s="3"/>
      <c r="X1" s="3"/>
      <c r="Y1" s="3"/>
      <c r="Z1" s="3"/>
      <c r="AA1" s="3"/>
      <c r="AB1" s="3"/>
      <c r="AC1" s="3"/>
    </row>
    <row r="2" spans="1:32" customFormat="1" ht="18" customHeight="1" x14ac:dyDescent="0.3">
      <c r="A2" s="3"/>
      <c r="B2" s="8"/>
      <c r="C2" s="8"/>
      <c r="D2" s="8"/>
      <c r="E2" s="8"/>
      <c r="F2" s="8"/>
      <c r="G2" s="8"/>
      <c r="H2" s="8"/>
      <c r="I2" s="3"/>
      <c r="J2" s="26"/>
      <c r="K2" s="3"/>
      <c r="L2" s="3"/>
      <c r="M2" s="3"/>
      <c r="N2" s="3"/>
      <c r="O2" s="3"/>
      <c r="P2" s="3"/>
      <c r="Q2" s="4"/>
      <c r="R2" s="3"/>
      <c r="S2" s="3"/>
      <c r="T2" s="4"/>
      <c r="U2" s="3"/>
      <c r="V2" s="3"/>
      <c r="W2" s="3"/>
      <c r="X2" s="3"/>
      <c r="Y2" s="3"/>
      <c r="Z2" s="3"/>
      <c r="AA2" s="3"/>
      <c r="AB2" s="3"/>
      <c r="AC2" s="3"/>
    </row>
    <row r="3" spans="1:32" s="37" customFormat="1" ht="15.75" customHeight="1" x14ac:dyDescent="0.3">
      <c r="A3" s="51" t="s">
        <v>0</v>
      </c>
      <c r="B3" s="40" t="s">
        <v>2</v>
      </c>
      <c r="C3" s="40" t="s">
        <v>3</v>
      </c>
      <c r="D3" s="40" t="s">
        <v>4</v>
      </c>
      <c r="E3" s="42" t="s">
        <v>5</v>
      </c>
      <c r="F3" s="40" t="s">
        <v>7</v>
      </c>
      <c r="G3" s="40" t="s">
        <v>8</v>
      </c>
      <c r="H3" s="40" t="s">
        <v>9</v>
      </c>
      <c r="I3" s="40" t="s">
        <v>10</v>
      </c>
      <c r="J3" s="46" t="s">
        <v>12</v>
      </c>
      <c r="K3" s="40" t="s">
        <v>13</v>
      </c>
      <c r="L3" s="40" t="s">
        <v>14</v>
      </c>
      <c r="M3" s="40" t="s">
        <v>15</v>
      </c>
      <c r="N3" s="40" t="s">
        <v>16</v>
      </c>
      <c r="O3" s="40" t="s">
        <v>17</v>
      </c>
      <c r="P3" s="40" t="s">
        <v>18</v>
      </c>
      <c r="Q3" s="42" t="s">
        <v>22</v>
      </c>
      <c r="R3" s="42" t="s">
        <v>23</v>
      </c>
      <c r="S3" s="40" t="s">
        <v>24</v>
      </c>
      <c r="T3" s="42" t="s">
        <v>25</v>
      </c>
      <c r="U3" s="40" t="s">
        <v>27</v>
      </c>
      <c r="V3" s="40" t="s">
        <v>28</v>
      </c>
      <c r="W3" s="40" t="s">
        <v>29</v>
      </c>
      <c r="X3" s="40" t="s">
        <v>30</v>
      </c>
      <c r="Y3" s="40" t="s">
        <v>31</v>
      </c>
      <c r="Z3" s="40" t="s">
        <v>32</v>
      </c>
      <c r="AA3" s="40" t="s">
        <v>33</v>
      </c>
      <c r="AB3" s="40" t="s">
        <v>34</v>
      </c>
      <c r="AC3" s="40" t="s">
        <v>35</v>
      </c>
      <c r="AD3" s="40" t="s">
        <v>65</v>
      </c>
      <c r="AE3" s="40" t="s">
        <v>66</v>
      </c>
      <c r="AF3" s="40" t="s">
        <v>69</v>
      </c>
    </row>
    <row r="4" spans="1:32" s="37" customFormat="1" ht="15.6" customHeight="1" x14ac:dyDescent="0.3">
      <c r="A4" s="51"/>
      <c r="B4" s="41"/>
      <c r="C4" s="41"/>
      <c r="D4" s="41"/>
      <c r="E4" s="43"/>
      <c r="F4" s="41"/>
      <c r="G4" s="41"/>
      <c r="H4" s="41"/>
      <c r="I4" s="41"/>
      <c r="J4" s="47"/>
      <c r="K4" s="41"/>
      <c r="L4" s="41"/>
      <c r="M4" s="41"/>
      <c r="N4" s="41"/>
      <c r="O4" s="41"/>
      <c r="P4" s="41"/>
      <c r="Q4" s="43"/>
      <c r="R4" s="43"/>
      <c r="S4" s="41"/>
      <c r="T4" s="43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</row>
    <row r="5" spans="1:32" s="38" customFormat="1" ht="20.100000000000001" customHeight="1" x14ac:dyDescent="0.3">
      <c r="A5" s="11"/>
      <c r="B5" s="11"/>
      <c r="C5" s="12"/>
      <c r="D5" s="12"/>
      <c r="E5" s="13"/>
      <c r="F5" s="12"/>
      <c r="G5" s="12"/>
      <c r="H5" s="12"/>
      <c r="I5" s="12"/>
      <c r="J5" s="27"/>
      <c r="K5" s="12"/>
      <c r="L5" s="12"/>
      <c r="M5" s="12"/>
      <c r="N5" s="12"/>
      <c r="O5" s="12"/>
      <c r="P5" s="12"/>
      <c r="Q5" s="13"/>
      <c r="R5" s="13"/>
      <c r="S5" s="12"/>
      <c r="T5" s="1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s="39" customFormat="1" ht="18" customHeight="1" x14ac:dyDescent="0.3">
      <c r="A6" s="2" t="s">
        <v>53</v>
      </c>
      <c r="B6" s="1" t="s">
        <v>54</v>
      </c>
      <c r="C6" s="2" t="s">
        <v>48</v>
      </c>
      <c r="D6" s="2" t="s">
        <v>55</v>
      </c>
      <c r="E6" s="18">
        <v>35606</v>
      </c>
      <c r="F6" s="2" t="s">
        <v>38</v>
      </c>
      <c r="G6" s="2" t="s">
        <v>39</v>
      </c>
      <c r="H6" s="2" t="s">
        <v>46</v>
      </c>
      <c r="I6" s="2" t="s">
        <v>56</v>
      </c>
      <c r="J6" s="23" t="s">
        <v>59</v>
      </c>
      <c r="K6" s="2" t="s">
        <v>60</v>
      </c>
      <c r="L6" s="24" t="s">
        <v>61</v>
      </c>
      <c r="M6" s="16" t="s">
        <v>52</v>
      </c>
      <c r="N6" s="2" t="s">
        <v>52</v>
      </c>
      <c r="O6" s="2" t="s">
        <v>52</v>
      </c>
      <c r="P6" s="16" t="s">
        <v>40</v>
      </c>
      <c r="Q6" s="18">
        <v>44953</v>
      </c>
      <c r="R6" s="18">
        <v>44953</v>
      </c>
      <c r="S6" s="2" t="s">
        <v>41</v>
      </c>
      <c r="T6" s="21"/>
      <c r="U6" s="2" t="s">
        <v>42</v>
      </c>
      <c r="V6" s="2" t="s">
        <v>43</v>
      </c>
      <c r="W6" s="2" t="s">
        <v>44</v>
      </c>
      <c r="X6" s="2" t="s">
        <v>51</v>
      </c>
      <c r="Y6" s="2" t="s">
        <v>44</v>
      </c>
      <c r="Z6" s="23" t="s">
        <v>50</v>
      </c>
      <c r="AA6" s="2" t="s">
        <v>62</v>
      </c>
      <c r="AB6" s="2" t="s">
        <v>47</v>
      </c>
      <c r="AC6" s="2" t="s">
        <v>45</v>
      </c>
      <c r="AD6" s="17"/>
      <c r="AE6" s="17"/>
      <c r="AF6" s="17"/>
    </row>
    <row r="7" spans="1:32" ht="20.100000000000001" customHeight="1" x14ac:dyDescent="0.3">
      <c r="A7" s="29" t="s">
        <v>0</v>
      </c>
      <c r="B7" s="33" t="s">
        <v>2</v>
      </c>
      <c r="C7" s="29" t="s">
        <v>3</v>
      </c>
      <c r="D7" s="29" t="s">
        <v>4</v>
      </c>
      <c r="E7" s="30" t="s">
        <v>5</v>
      </c>
      <c r="F7" s="29" t="s">
        <v>7</v>
      </c>
      <c r="G7" s="29" t="s">
        <v>8</v>
      </c>
      <c r="H7" s="29" t="s">
        <v>9</v>
      </c>
      <c r="I7" s="29" t="s">
        <v>10</v>
      </c>
      <c r="J7" s="35" t="s">
        <v>12</v>
      </c>
      <c r="K7" s="29" t="s">
        <v>13</v>
      </c>
      <c r="L7" s="28" t="s">
        <v>14</v>
      </c>
      <c r="M7" s="29" t="s">
        <v>15</v>
      </c>
      <c r="N7" s="29" t="s">
        <v>16</v>
      </c>
      <c r="O7" s="29" t="s">
        <v>17</v>
      </c>
      <c r="P7" s="29" t="s">
        <v>18</v>
      </c>
      <c r="Q7" s="30" t="s">
        <v>22</v>
      </c>
      <c r="R7" s="29" t="s">
        <v>23</v>
      </c>
      <c r="S7" s="30" t="s">
        <v>24</v>
      </c>
      <c r="T7" s="29" t="s">
        <v>25</v>
      </c>
      <c r="U7" s="29" t="s">
        <v>63</v>
      </c>
      <c r="V7" s="29" t="s">
        <v>64</v>
      </c>
      <c r="W7" s="29" t="s">
        <v>29</v>
      </c>
      <c r="X7" s="29" t="s">
        <v>30</v>
      </c>
      <c r="Y7" s="29" t="s">
        <v>31</v>
      </c>
      <c r="Z7" s="29" t="s">
        <v>32</v>
      </c>
      <c r="AA7" s="29" t="s">
        <v>72</v>
      </c>
      <c r="AB7" s="29" t="s">
        <v>34</v>
      </c>
      <c r="AC7" s="36" t="s">
        <v>73</v>
      </c>
      <c r="AD7" s="36" t="s">
        <v>65</v>
      </c>
      <c r="AE7" s="36" t="s">
        <v>66</v>
      </c>
      <c r="AF7" s="36" t="s">
        <v>69</v>
      </c>
    </row>
  </sheetData>
  <autoFilter ref="A5:AC6" xr:uid="{00000000-0001-0000-0000-000000000000}"/>
  <mergeCells count="32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E3:AE4"/>
    <mergeCell ref="AF3:AF4"/>
    <mergeCell ref="Y3:Y4"/>
    <mergeCell ref="Z3:Z4"/>
    <mergeCell ref="AA3:AA4"/>
    <mergeCell ref="AB3:AB4"/>
    <mergeCell ref="AC3:AC4"/>
    <mergeCell ref="AD3:AD4"/>
  </mergeCells>
  <pageMargins left="0.7" right="0.7" top="0.75" bottom="0.75" header="0.3" footer="0.3"/>
  <pageSetup paperSize="9" scale="1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e8632b-bd1c-4f72-9f23-78e3e339763c">
      <Terms xmlns="http://schemas.microsoft.com/office/infopath/2007/PartnerControls"/>
    </lcf76f155ced4ddcb4097134ff3c332f>
    <TaxCatchAll xmlns="baccbb9f-86db-474f-9f9e-ad75b3e2e9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764A30C772DD4AA1D3DC57DEFA1EE8" ma:contentTypeVersion="11" ma:contentTypeDescription="Create a new document." ma:contentTypeScope="" ma:versionID="cd0f8763dc5d7333dc918e1a184a75e4">
  <xsd:schema xmlns:xsd="http://www.w3.org/2001/XMLSchema" xmlns:xs="http://www.w3.org/2001/XMLSchema" xmlns:p="http://schemas.microsoft.com/office/2006/metadata/properties" xmlns:ns2="cee8632b-bd1c-4f72-9f23-78e3e339763c" xmlns:ns3="baccbb9f-86db-474f-9f9e-ad75b3e2e942" targetNamespace="http://schemas.microsoft.com/office/2006/metadata/properties" ma:root="true" ma:fieldsID="7726799416c4ec2ef88ddabebd413b61" ns2:_="" ns3:_="">
    <xsd:import namespace="cee8632b-bd1c-4f72-9f23-78e3e339763c"/>
    <xsd:import namespace="baccbb9f-86db-474f-9f9e-ad75b3e2e9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8632b-bd1c-4f72-9f23-78e3e3397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af2abb-527b-4192-bd9c-ac4d34f7e5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cbb9f-86db-474f-9f9e-ad75b3e2e94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7c64afc-1e4d-4267-ad7f-7f94b6cd7248}" ma:internalName="TaxCatchAll" ma:showField="CatchAllData" ma:web="baccbb9f-86db-474f-9f9e-ad75b3e2e9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A5D9C3-3E99-4A55-BC11-7E86B55B3F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196E8F-FEA2-45F8-AEA0-337C2E239592}">
  <ds:schemaRefs>
    <ds:schemaRef ds:uri="http://schemas.microsoft.com/office/2006/metadata/properties"/>
    <ds:schemaRef ds:uri="http://schemas.microsoft.com/office/infopath/2007/PartnerControls"/>
    <ds:schemaRef ds:uri="cee8632b-bd1c-4f72-9f23-78e3e339763c"/>
    <ds:schemaRef ds:uri="baccbb9f-86db-474f-9f9e-ad75b3e2e942"/>
  </ds:schemaRefs>
</ds:datastoreItem>
</file>

<file path=customXml/itemProps3.xml><?xml version="1.0" encoding="utf-8"?>
<ds:datastoreItem xmlns:ds="http://schemas.openxmlformats.org/officeDocument/2006/customXml" ds:itemID="{C83FD86B-8A2F-4C34-A3DB-FBB5DEFFBA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e8632b-bd1c-4f72-9f23-78e3e339763c"/>
    <ds:schemaRef ds:uri="baccbb9f-86db-474f-9f9e-ad75b3e2e9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 Empl (IND)</vt:lpstr>
      <vt:lpstr>Non Active (IND)</vt:lpstr>
      <vt:lpstr>Active Empl (CHN)</vt:lpstr>
      <vt:lpstr>Non Active (CHN)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Indah Mutia Ayudita [MTI]</cp:lastModifiedBy>
  <cp:revision/>
  <dcterms:created xsi:type="dcterms:W3CDTF">2022-12-22T03:01:01Z</dcterms:created>
  <dcterms:modified xsi:type="dcterms:W3CDTF">2025-06-30T06:09:03Z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0x0101006A764A30C772DD4AA1D3DC57DEFA1EE8</vt:lpwstr>
  </property>
</Properties>
</file>