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erdekabattery-my.sharepoint.com/personal/indah_ayudita_merdekabattery_com/Documents/AI Development/Compensation &amp; Benefit/Contoh/"/>
    </mc:Choice>
  </mc:AlternateContent>
  <xr:revisionPtr revIDLastSave="4" documentId="13_ncr:1_{ECF97633-66AF-4742-AA2A-1C1440E5C26B}" xr6:coauthVersionLast="47" xr6:coauthVersionMax="47" xr10:uidLastSave="{7C51EEF8-2141-4F07-938D-DBDE74F7B8C8}"/>
  <bookViews>
    <workbookView xWindow="-108" yWindow="-108" windowWidth="23256" windowHeight="12456" tabRatio="572" activeTab="3" xr2:uid="{00000000-000D-0000-FFFF-FFFF00000000}"/>
  </bookViews>
  <sheets>
    <sheet name="Active Empl (IND)" sheetId="1" r:id="rId1"/>
    <sheet name="Non Active (IND)" sheetId="21" r:id="rId2"/>
    <sheet name="Active Empl (CHN)" sheetId="22" r:id="rId3"/>
    <sheet name="Non Active (CHN)" sheetId="23" r:id="rId4"/>
  </sheets>
  <definedNames>
    <definedName name="_xlnm._FilterDatabase" localSheetId="2" hidden="1">'Active Empl (CHN)'!$A$5:$V$6</definedName>
    <definedName name="_xlnm._FilterDatabase" localSheetId="0" hidden="1">'Active Empl (IND)'!$A$5:$V$6</definedName>
    <definedName name="_xlnm._FilterDatabase" localSheetId="3" hidden="1">'Non Active (CHN)'!$A$5:$V$6</definedName>
    <definedName name="_xlnm._FilterDatabase" localSheetId="1" hidden="1">'Non Active (IND)'!$A$5:$V$6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" i="23" l="1"/>
  <c r="A1" i="23"/>
  <c r="P6" i="22"/>
  <c r="A1" i="22"/>
  <c r="P6" i="21"/>
  <c r="A1" i="21"/>
  <c r="A1" i="1" l="1"/>
  <c r="P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tc={1CB20736-2155-40FD-AEAA-1E5EC8226281}</author>
  </authors>
  <commentList>
    <comment ref="L3" authorId="0" shapeId="0" xr:uid="{1CB20736-2155-40FD-AEAA-1E5EC822628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tc={AE7F4C3F-D672-4F2E-9542-7A39476D0831}</author>
  </authors>
  <commentList>
    <comment ref="L3" authorId="0" shapeId="0" xr:uid="{AE7F4C3F-D672-4F2E-9542-7A39476D083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tc={54EC65C7-9074-4716-9B2A-804608E61181}</author>
  </authors>
  <commentList>
    <comment ref="L3" authorId="0" shapeId="0" xr:uid="{54EC65C7-9074-4716-9B2A-804608E61181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tc={A24CC3A0-C2CE-4AAB-ACDD-2095928D37B8}</author>
  </authors>
  <commentList>
    <comment ref="L3" authorId="0" shapeId="0" xr:uid="{A24CC3A0-C2CE-4AAB-ACDD-2095928D37B8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Join date di MTI</t>
      </text>
    </comment>
  </commentList>
</comments>
</file>

<file path=xl/sharedStrings.xml><?xml version="1.0" encoding="utf-8"?>
<sst xmlns="http://schemas.openxmlformats.org/spreadsheetml/2006/main" count="162" uniqueCount="44">
  <si>
    <t>Emp. ID</t>
  </si>
  <si>
    <t>Employee Name</t>
  </si>
  <si>
    <t>Gender</t>
  </si>
  <si>
    <t>Tax Status</t>
  </si>
  <si>
    <t>Religion</t>
  </si>
  <si>
    <t>Nationality</t>
  </si>
  <si>
    <t>Blood Type</t>
  </si>
  <si>
    <t>Mobile Phone</t>
  </si>
  <si>
    <t>Email</t>
  </si>
  <si>
    <t>Poin of Hire</t>
  </si>
  <si>
    <t>Schedule Type</t>
  </si>
  <si>
    <t>First Join Date</t>
  </si>
  <si>
    <t>Join Date</t>
  </si>
  <si>
    <t>Employment Status</t>
  </si>
  <si>
    <t>End Contract</t>
  </si>
  <si>
    <t>Years in Service</t>
  </si>
  <si>
    <t>Department</t>
  </si>
  <si>
    <t>Section</t>
  </si>
  <si>
    <t>Job Tittle</t>
  </si>
  <si>
    <t>Position Grade</t>
  </si>
  <si>
    <t>Islam</t>
  </si>
  <si>
    <t>Indonesia</t>
  </si>
  <si>
    <t>Permanent</t>
  </si>
  <si>
    <t>Support &amp; Services</t>
  </si>
  <si>
    <t>TK0</t>
  </si>
  <si>
    <t>B+</t>
  </si>
  <si>
    <t>Officer</t>
  </si>
  <si>
    <t>Female</t>
  </si>
  <si>
    <t>7:2 (07:00-17:00)</t>
  </si>
  <si>
    <t>Management</t>
  </si>
  <si>
    <t>Balikpapan</t>
  </si>
  <si>
    <t>MTI230004</t>
  </si>
  <si>
    <t>Indah Mutia Ayudita</t>
  </si>
  <si>
    <t>085746838924</t>
  </si>
  <si>
    <t>indah.ayudita@merdekabattery.com</t>
  </si>
  <si>
    <t>AI Implementation Officer</t>
  </si>
  <si>
    <t>19039167150</t>
  </si>
  <si>
    <t>0002521226935</t>
  </si>
  <si>
    <t>Terminated Date</t>
  </si>
  <si>
    <t>BPJS TK No</t>
  </si>
  <si>
    <t>BPJS KES No</t>
  </si>
  <si>
    <t>Job Title</t>
  </si>
  <si>
    <t>Social Insurance No</t>
  </si>
  <si>
    <t>BPJS Kesehatan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</si>
</sst>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.000_-;\-* #,##0.000_-;_-* &quot;-&quot;_-;_-@_-"/>
    <numFmt numFmtId="165" formatCode="dd\ mmm\ yyyy"/>
  </numFmts>
  <fonts count="21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1"/>
      <color indexed="8"/>
      <name val="Calibri Light"/>
      <family val="2"/>
      <scheme val="maj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0"/>
      <color indexed="8"/>
      <name val="Calibri Light"/>
      <family val="2"/>
      <scheme val="major"/>
    </font>
    <font>
      <sz val="11"/>
      <color indexed="8"/>
      <name val="Calibri"/>
      <family val="2"/>
      <charset val="1"/>
    </font>
    <font>
      <b/>
      <sz val="36"/>
      <color indexed="8"/>
      <name val="Arial Black"/>
      <family val="2"/>
    </font>
    <font>
      <sz val="12"/>
      <color indexed="8"/>
      <name val="Calibri"/>
      <family val="2"/>
      <scheme val="minor"/>
    </font>
    <font>
      <b/>
      <sz val="11"/>
      <name val="Aptos Display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36"/>
      <color theme="0"/>
      <name val="Arial Black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48"/>
      <color indexed="8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1" fontId="3" fillId="0" borderId="0" applyFont="0" applyFill="0" applyBorder="0" applyAlignment="0" applyProtection="0"/>
    <xf numFmtId="0" fontId="9" fillId="0" borderId="1"/>
    <xf numFmtId="0" fontId="11" fillId="0" borderId="1"/>
    <xf numFmtId="0" fontId="2" fillId="0" borderId="1"/>
    <xf numFmtId="0" fontId="3" fillId="0" borderId="1"/>
    <xf numFmtId="41" fontId="3" fillId="0" borderId="1" applyFont="0" applyFill="0" applyBorder="0" applyAlignment="0" applyProtection="0"/>
    <xf numFmtId="0" fontId="8" fillId="0" borderId="1" applyNumberFormat="0" applyFill="0" applyBorder="0" applyAlignment="0" applyProtection="0"/>
    <xf numFmtId="0" fontId="1" fillId="0" borderId="1"/>
  </cellStyleXfs>
  <cellXfs count="36">
    <xf numFmtId="0" fontId="0" fillId="0" borderId="0" xfId="0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5" fontId="6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3" borderId="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65" fontId="16" fillId="3" borderId="5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 wrapText="1"/>
    </xf>
    <xf numFmtId="165" fontId="4" fillId="2" borderId="2" xfId="0" applyNumberFormat="1" applyFont="1" applyFill="1" applyBorder="1" applyAlignment="1">
      <alignment horizontal="center" vertical="center" wrapText="1"/>
    </xf>
    <xf numFmtId="164" fontId="4" fillId="0" borderId="2" xfId="1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Border="1"/>
    <xf numFmtId="0" fontId="13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165" fontId="14" fillId="4" borderId="4" xfId="0" applyNumberFormat="1" applyFont="1" applyFill="1" applyBorder="1" applyAlignment="1">
      <alignment horizontal="center" vertical="center" wrapText="1"/>
    </xf>
    <xf numFmtId="165" fontId="14" fillId="4" borderId="5" xfId="0" applyNumberFormat="1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</cellXfs>
  <cellStyles count="9">
    <cellStyle name="Comma [0]" xfId="1" builtinId="6"/>
    <cellStyle name="Comma [0] 2" xfId="6" xr:uid="{C42CA13F-959D-48F7-ABD9-7BA00D79B1BB}"/>
    <cellStyle name="Excel Built-in Normal" xfId="3" xr:uid="{7F05400B-2D1B-418A-9D96-F56BD694007D}"/>
    <cellStyle name="Hyperlink 2" xfId="7" xr:uid="{63A1942B-866A-4100-BBD5-BA79BC44DBF2}"/>
    <cellStyle name="Normal" xfId="0" builtinId="0"/>
    <cellStyle name="Normal 2" xfId="2" xr:uid="{3ECE7845-9890-42C3-A81F-17936720466F}"/>
    <cellStyle name="Normal 3" xfId="4" xr:uid="{BBBF059B-76DA-4B09-8CF7-BAF6134AD8C9}"/>
    <cellStyle name="Normal 3 2" xfId="8" xr:uid="{18F43F04-EBD8-42B2-959A-237D5610F1BD}"/>
    <cellStyle name="Normal 4" xfId="5" xr:uid="{EF0CAD60-6C11-4CE0-A522-05B4B269D279}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1265030</xdr:colOff>
      <xdr:row>0</xdr:row>
      <xdr:rowOff>590604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30205" cy="473221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6</xdr:row>
          <xdr:rowOff>0</xdr:rowOff>
        </xdr:from>
        <xdr:to>
          <xdr:col>9</xdr:col>
          <xdr:colOff>160020</xdr:colOff>
          <xdr:row>7</xdr:row>
          <xdr:rowOff>99060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963150" y="6507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4" name="TextBox 2">
          <a:extLst>
            <a:ext uri="{FF2B5EF4-FFF2-40B4-BE49-F238E27FC236}">
              <a16:creationId xmlns:a16="http://schemas.microsoft.com/office/drawing/2014/main" id="{57A551CC-CC92-47F6-BC2A-8FFE5029FCC5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10696575" y="53416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1268205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9D13880A-4E37-49AE-8EDC-D730B8C29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322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7</xdr:row>
      <xdr:rowOff>95250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7649"/>
            </a:ext>
            <a:ext uri="{FF2B5EF4-FFF2-40B4-BE49-F238E27FC236}">
              <a16:creationId xmlns:a16="http://schemas.microsoft.com/office/drawing/2014/main" id="{B670B4DA-32B8-4698-96E0-4318BF48E71F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663671B-F086-4FFE-8D7B-27C71B1163EC}"/>
            </a:ext>
          </a:extLst>
        </xdr:cNvPr>
        <xdr:cNvSpPr txBox="1"/>
      </xdr:nvSpPr>
      <xdr:spPr>
        <a:xfrm>
          <a:off x="7362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253E150E-E626-401E-AAA9-A2EFA8514E76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7362825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9</xdr:col>
      <xdr:colOff>0</xdr:colOff>
      <xdr:row>6</xdr:row>
      <xdr:rowOff>0</xdr:rowOff>
    </xdr:from>
    <xdr:to>
      <xdr:col>9</xdr:col>
      <xdr:colOff>182880</xdr:colOff>
      <xdr:row>7</xdr:row>
      <xdr:rowOff>114300</xdr:rowOff>
    </xdr:to>
    <xdr:pic>
      <xdr:nvPicPr>
        <xdr:cNvPr id="27649" name="Picture 1">
          <a:extLst>
            <a:ext uri="{FF2B5EF4-FFF2-40B4-BE49-F238E27FC236}">
              <a16:creationId xmlns:a16="http://schemas.microsoft.com/office/drawing/2014/main" id="{5DC3C17E-198B-95A6-E30B-64836FE66AE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4240" y="1882140"/>
          <a:ext cx="182880" cy="36576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1268205</xdr:colOff>
      <xdr:row>0</xdr:row>
      <xdr:rowOff>590604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4D7FBDD5-D547-4E55-ADF4-98C24E204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6880" cy="473221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7</xdr:row>
      <xdr:rowOff>95250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8673"/>
            </a:ext>
            <a:ext uri="{FF2B5EF4-FFF2-40B4-BE49-F238E27FC236}">
              <a16:creationId xmlns:a16="http://schemas.microsoft.com/office/drawing/2014/main" id="{7244EF7E-F555-42D5-B978-8686BF8D1389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C73AD1-0628-4702-AD7B-F48C483E7825}"/>
            </a:ext>
          </a:extLst>
        </xdr:cNvPr>
        <xdr:cNvSpPr txBox="1"/>
      </xdr:nvSpPr>
      <xdr:spPr>
        <a:xfrm>
          <a:off x="4495800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14EB4ED2-56A2-4479-BA8C-C4248D7B5056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4495800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9</xdr:col>
      <xdr:colOff>0</xdr:colOff>
      <xdr:row>6</xdr:row>
      <xdr:rowOff>0</xdr:rowOff>
    </xdr:from>
    <xdr:to>
      <xdr:col>9</xdr:col>
      <xdr:colOff>182880</xdr:colOff>
      <xdr:row>7</xdr:row>
      <xdr:rowOff>114300</xdr:rowOff>
    </xdr:to>
    <xdr:pic>
      <xdr:nvPicPr>
        <xdr:cNvPr id="28673" name="Picture 1">
          <a:extLst>
            <a:ext uri="{FF2B5EF4-FFF2-40B4-BE49-F238E27FC236}">
              <a16:creationId xmlns:a16="http://schemas.microsoft.com/office/drawing/2014/main" id="{6D8EF84C-49C0-9746-2A40-B621F5628018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4240" y="1882140"/>
          <a:ext cx="182880" cy="36576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117383</xdr:rowOff>
    </xdr:from>
    <xdr:to>
      <xdr:col>1</xdr:col>
      <xdr:colOff>1265030</xdr:colOff>
      <xdr:row>0</xdr:row>
      <xdr:rowOff>587429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D012C9AC-B595-48BD-927E-D979A3E21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7383"/>
          <a:ext cx="2093705" cy="470046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152400</xdr:colOff>
      <xdr:row>7</xdr:row>
      <xdr:rowOff>95250</xdr:rowOff>
    </xdr:to>
    <xdr:sp macro="" textlink="">
      <xdr:nvSpPr>
        <xdr:cNvPr id="3" name="Picture 1" hidden="1">
          <a:extLst>
            <a:ext uri="{63B3BB69-23CF-44E3-9099-C40C66FF867C}">
              <a14:compatExt xmlns:a14="http://schemas.microsoft.com/office/drawing/2010/main" spid="_x0000_s29697"/>
            </a:ext>
            <a:ext uri="{FF2B5EF4-FFF2-40B4-BE49-F238E27FC236}">
              <a16:creationId xmlns:a16="http://schemas.microsoft.com/office/drawing/2014/main" id="{FD2F9B44-2DDE-4D32-B4A7-8308D2F52F87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 w="9525">
          <a:miter lim="800000"/>
          <a:headEnd/>
          <a:tailEnd/>
        </a:ln>
      </xdr:spPr>
    </xdr:sp>
    <xdr:clientData/>
  </xdr:two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804FDD-1ABA-40C9-8903-3B8A612B56BD}"/>
            </a:ext>
          </a:extLst>
        </xdr:cNvPr>
        <xdr:cNvSpPr txBox="1"/>
      </xdr:nvSpPr>
      <xdr:spPr>
        <a:xfrm>
          <a:off x="4495800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oneCellAnchor>
    <xdr:from>
      <xdr:col>4</xdr:col>
      <xdr:colOff>0</xdr:colOff>
      <xdr:row>6</xdr:row>
      <xdr:rowOff>0</xdr:rowOff>
    </xdr:from>
    <xdr:ext cx="184731" cy="264560"/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B6446A13-CDC6-4B40-AD9E-72586EE5EFCC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SpPr txBox="1"/>
      </xdr:nvSpPr>
      <xdr:spPr>
        <a:xfrm>
          <a:off x="4495800" y="18954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D" sz="1100"/>
        </a:p>
      </xdr:txBody>
    </xdr:sp>
    <xdr:clientData/>
  </xdr:oneCellAnchor>
  <xdr:twoCellAnchor editAs="oneCell">
    <xdr:from>
      <xdr:col>9</xdr:col>
      <xdr:colOff>0</xdr:colOff>
      <xdr:row>6</xdr:row>
      <xdr:rowOff>0</xdr:rowOff>
    </xdr:from>
    <xdr:to>
      <xdr:col>9</xdr:col>
      <xdr:colOff>182880</xdr:colOff>
      <xdr:row>7</xdr:row>
      <xdr:rowOff>114300</xdr:rowOff>
    </xdr:to>
    <xdr:pic>
      <xdr:nvPicPr>
        <xdr:cNvPr id="29697" name="Picture 1">
          <a:extLst>
            <a:ext uri="{FF2B5EF4-FFF2-40B4-BE49-F238E27FC236}">
              <a16:creationId xmlns:a16="http://schemas.microsoft.com/office/drawing/2014/main" id="{9EC39DEC-8010-2363-F2AB-12AE0A06CCEA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64240" y="1882140"/>
          <a:ext cx="182880" cy="36576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iska Novitasari Resdiansah" id="{E0331AC0-E7DC-47FE-BEBF-762C03847FEA}" userId="S::riska.resdiansah@merdekabattery.com::52772d32-5c23-4d57-996c-6b8f6f36e1e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4-04-02T23:16:38.49" personId="{E0331AC0-E7DC-47FE-BEBF-762C03847FEA}" id="{1CB20736-2155-40FD-AEAA-1E5EC8226281}">
    <text>First Join date di MTI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3" dT="2024-04-02T23:16:38.49" personId="{E0331AC0-E7DC-47FE-BEBF-762C03847FEA}" id="{AE7F4C3F-D672-4F2E-9542-7A39476D0831}">
    <text>First Join date di MTI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3" dT="2024-04-02T23:16:38.49" personId="{E0331AC0-E7DC-47FE-BEBF-762C03847FEA}" id="{54EC65C7-9074-4716-9B2A-804608E61181}">
    <text>First Join date di MTI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L3" dT="2024-04-02T23:16:38.49" personId="{E0331AC0-E7DC-47FE-BEBF-762C03847FEA}" id="{A24CC3A0-C2CE-4AAB-ACDD-2095928D37B8}">
    <text>First Join date di MTI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5"/>
  </sheetPr>
  <dimension ref="A1:V7"/>
  <sheetViews>
    <sheetView zoomScaleNormal="100" zoomScaleSheetLayoutView="70" workbookViewId="0">
      <pane xSplit="2" ySplit="5" topLeftCell="Q6" activePane="bottomRight" state="frozen"/>
      <selection pane="topRight"/>
      <selection pane="bottomLeft" activeCell="A10" sqref="A10"/>
      <selection pane="bottomRight" activeCell="A7" sqref="A7:V7"/>
    </sheetView>
  </sheetViews>
  <sheetFormatPr defaultColWidth="9.21875" defaultRowHeight="20.100000000000001" customHeight="1" x14ac:dyDescent="0.3"/>
  <cols>
    <col min="1" max="1" width="11.77734375" style="18" customWidth="1"/>
    <col min="2" max="2" width="34.5546875" style="23" bestFit="1" customWidth="1"/>
    <col min="3" max="3" width="7.77734375" style="18" customWidth="1"/>
    <col min="4" max="4" width="10.21875" style="18" customWidth="1"/>
    <col min="5" max="5" width="9.21875" style="18" customWidth="1"/>
    <col min="6" max="6" width="13" style="18" customWidth="1"/>
    <col min="7" max="7" width="7.21875" style="18" customWidth="1"/>
    <col min="8" max="8" width="26.77734375" style="18" customWidth="1"/>
    <col min="9" max="9" width="40.77734375" style="24" customWidth="1"/>
    <col min="10" max="10" width="31.5546875" style="18" customWidth="1"/>
    <col min="11" max="11" width="18.77734375" style="18" customWidth="1"/>
    <col min="12" max="12" width="13.5546875" style="19" customWidth="1"/>
    <col min="13" max="13" width="15.77734375" style="19" customWidth="1"/>
    <col min="14" max="14" width="14.44140625" style="18" customWidth="1"/>
    <col min="15" max="15" width="14.21875" style="19" customWidth="1"/>
    <col min="16" max="16" width="22.77734375" style="18" customWidth="1"/>
    <col min="17" max="17" width="30.44140625" style="18" customWidth="1"/>
    <col min="18" max="18" width="41.21875" style="18" customWidth="1"/>
    <col min="19" max="19" width="42" style="18" customWidth="1"/>
    <col min="20" max="20" width="18.77734375" style="18" customWidth="1"/>
    <col min="21" max="21" width="19.77734375" style="18" customWidth="1"/>
    <col min="22" max="22" width="19.21875" style="18" bestFit="1" customWidth="1"/>
    <col min="23" max="16384" width="9.21875" style="25"/>
  </cols>
  <sheetData>
    <row r="1" spans="1:22" customFormat="1" ht="61.2" x14ac:dyDescent="0.3">
      <c r="A1" s="21">
        <f>COUNTA(A6:A6)</f>
        <v>1</v>
      </c>
      <c r="B1" s="20"/>
      <c r="C1" s="7"/>
      <c r="D1" s="3"/>
      <c r="E1" s="3"/>
      <c r="F1" s="3"/>
      <c r="G1" s="3"/>
      <c r="H1" s="3"/>
      <c r="I1" s="16"/>
      <c r="J1" s="3"/>
      <c r="K1" s="3"/>
      <c r="L1" s="4"/>
      <c r="M1" s="4"/>
      <c r="N1" s="3"/>
      <c r="O1" s="4"/>
      <c r="P1" s="3"/>
      <c r="Q1" s="3"/>
      <c r="R1" s="3"/>
      <c r="S1" s="3"/>
      <c r="T1" s="3"/>
      <c r="U1" s="3"/>
      <c r="V1" s="3"/>
    </row>
    <row r="2" spans="1:22" customFormat="1" ht="18" customHeight="1" x14ac:dyDescent="0.3">
      <c r="A2" s="3"/>
      <c r="B2" s="6"/>
      <c r="C2" s="6"/>
      <c r="D2" s="22"/>
      <c r="E2" s="6"/>
      <c r="F2" s="6"/>
      <c r="G2" s="6"/>
      <c r="H2" s="3"/>
      <c r="I2" s="16"/>
      <c r="J2" s="3"/>
      <c r="K2" s="3"/>
      <c r="L2" s="4"/>
      <c r="M2" s="3"/>
      <c r="N2" s="3"/>
      <c r="O2" s="4"/>
      <c r="P2" s="5"/>
      <c r="Q2" s="3"/>
      <c r="R2" s="3"/>
      <c r="S2" s="3"/>
      <c r="T2" s="3"/>
      <c r="U2" s="3"/>
      <c r="V2" s="3"/>
    </row>
    <row r="3" spans="1:22" s="26" customFormat="1" ht="15.75" customHeight="1" x14ac:dyDescent="0.3">
      <c r="A3" s="35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33" t="s">
        <v>8</v>
      </c>
      <c r="J3" s="29" t="s">
        <v>9</v>
      </c>
      <c r="K3" s="29" t="s">
        <v>10</v>
      </c>
      <c r="L3" s="31" t="s">
        <v>11</v>
      </c>
      <c r="M3" s="31" t="s">
        <v>12</v>
      </c>
      <c r="N3" s="29" t="s">
        <v>13</v>
      </c>
      <c r="O3" s="31" t="s">
        <v>14</v>
      </c>
      <c r="P3" s="29" t="s">
        <v>15</v>
      </c>
      <c r="Q3" s="29" t="s">
        <v>16</v>
      </c>
      <c r="R3" s="29" t="s">
        <v>17</v>
      </c>
      <c r="S3" s="29" t="s">
        <v>18</v>
      </c>
      <c r="T3" s="29" t="s">
        <v>19</v>
      </c>
      <c r="U3" s="29" t="s">
        <v>39</v>
      </c>
      <c r="V3" s="29" t="s">
        <v>40</v>
      </c>
    </row>
    <row r="4" spans="1:22" s="26" customFormat="1" ht="15.6" customHeight="1" x14ac:dyDescent="0.3">
      <c r="A4" s="35"/>
      <c r="B4" s="30"/>
      <c r="C4" s="30"/>
      <c r="D4" s="30"/>
      <c r="E4" s="30"/>
      <c r="F4" s="30"/>
      <c r="G4" s="30"/>
      <c r="H4" s="30"/>
      <c r="I4" s="34"/>
      <c r="J4" s="30"/>
      <c r="K4" s="30"/>
      <c r="L4" s="32"/>
      <c r="M4" s="32"/>
      <c r="N4" s="30"/>
      <c r="O4" s="32"/>
      <c r="P4" s="30"/>
      <c r="Q4" s="30"/>
      <c r="R4" s="30"/>
      <c r="S4" s="30"/>
      <c r="T4" s="30"/>
      <c r="U4" s="30"/>
      <c r="V4" s="30"/>
    </row>
    <row r="5" spans="1:22" s="27" customFormat="1" ht="20.100000000000001" customHeight="1" x14ac:dyDescent="0.3">
      <c r="A5" s="8"/>
      <c r="B5" s="8"/>
      <c r="C5" s="9"/>
      <c r="D5" s="9"/>
      <c r="E5" s="9"/>
      <c r="F5" s="9"/>
      <c r="G5" s="9"/>
      <c r="H5" s="9"/>
      <c r="I5" s="17"/>
      <c r="J5" s="9"/>
      <c r="K5" s="9"/>
      <c r="L5" s="10"/>
      <c r="M5" s="10"/>
      <c r="N5" s="9"/>
      <c r="O5" s="10"/>
      <c r="P5" s="9"/>
      <c r="Q5" s="9"/>
      <c r="R5" s="9"/>
      <c r="S5" s="9"/>
      <c r="T5" s="9"/>
      <c r="U5" s="9"/>
      <c r="V5" s="9"/>
    </row>
    <row r="6" spans="1:22" s="28" customFormat="1" ht="18" customHeight="1" x14ac:dyDescent="0.3">
      <c r="A6" s="2" t="s">
        <v>31</v>
      </c>
      <c r="B6" s="1" t="s">
        <v>32</v>
      </c>
      <c r="C6" s="2" t="s">
        <v>27</v>
      </c>
      <c r="D6" s="2" t="s">
        <v>24</v>
      </c>
      <c r="E6" s="2" t="s">
        <v>20</v>
      </c>
      <c r="F6" s="2" t="s">
        <v>21</v>
      </c>
      <c r="G6" s="2" t="s">
        <v>25</v>
      </c>
      <c r="H6" s="2" t="s">
        <v>33</v>
      </c>
      <c r="I6" s="15" t="s">
        <v>34</v>
      </c>
      <c r="J6" s="2" t="s">
        <v>30</v>
      </c>
      <c r="K6" s="11" t="s">
        <v>28</v>
      </c>
      <c r="L6" s="12">
        <v>44953</v>
      </c>
      <c r="M6" s="12">
        <v>44953</v>
      </c>
      <c r="N6" s="2" t="s">
        <v>22</v>
      </c>
      <c r="O6" s="13"/>
      <c r="P6" s="14" t="str">
        <f t="shared" ref="P6" ca="1" si="0">DATEDIF(L6,TODAY(),"y")&amp;"Tahun"&amp; DATEDIF(L6,TODAY(),"YM")&amp;"Bulan" &amp; DATEDIF(L6,TODAY(),"MD")&amp;"Hari"</f>
        <v>2Tahun5Bulan3Hari</v>
      </c>
      <c r="Q6" s="2" t="s">
        <v>29</v>
      </c>
      <c r="R6" s="2" t="s">
        <v>23</v>
      </c>
      <c r="S6" s="2" t="s">
        <v>35</v>
      </c>
      <c r="T6" s="2" t="s">
        <v>26</v>
      </c>
      <c r="U6" s="2" t="s">
        <v>36</v>
      </c>
      <c r="V6" s="2" t="s">
        <v>37</v>
      </c>
    </row>
    <row r="7" spans="1:22" ht="20.100000000000001" customHeight="1" x14ac:dyDescent="0.3">
      <c r="A7" s="18" t="s">
        <v>0</v>
      </c>
      <c r="B7" s="23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24" t="s">
        <v>8</v>
      </c>
      <c r="J7" s="18" t="s">
        <v>9</v>
      </c>
      <c r="K7" s="18" t="s">
        <v>10</v>
      </c>
      <c r="L7" s="19" t="s">
        <v>11</v>
      </c>
      <c r="M7" s="19" t="s">
        <v>12</v>
      </c>
      <c r="N7" s="18" t="s">
        <v>13</v>
      </c>
      <c r="O7" s="19" t="s">
        <v>14</v>
      </c>
      <c r="P7" s="18" t="s">
        <v>15</v>
      </c>
      <c r="Q7" s="18" t="s">
        <v>16</v>
      </c>
      <c r="R7" s="18" t="s">
        <v>17</v>
      </c>
      <c r="S7" s="18" t="s">
        <v>41</v>
      </c>
      <c r="T7" s="18" t="s">
        <v>19</v>
      </c>
      <c r="U7" s="18" t="s">
        <v>39</v>
      </c>
      <c r="V7" s="18" t="s">
        <v>40</v>
      </c>
    </row>
  </sheetData>
  <autoFilter ref="A5:V6" xr:uid="{00000000-0001-0000-0000-000000000000}"/>
  <sortState xmlns:xlrd2="http://schemas.microsoft.com/office/spreadsheetml/2017/richdata2" ref="A6:V6">
    <sortCondition ref="A6"/>
  </sortState>
  <mergeCells count="22">
    <mergeCell ref="A3:A4"/>
    <mergeCell ref="B3:B4"/>
    <mergeCell ref="E3:E4"/>
    <mergeCell ref="G3:G4"/>
    <mergeCell ref="H3:H4"/>
    <mergeCell ref="F3:F4"/>
    <mergeCell ref="J3:J4"/>
    <mergeCell ref="I3:I4"/>
    <mergeCell ref="M3:M4"/>
    <mergeCell ref="C3:C4"/>
    <mergeCell ref="D3:D4"/>
    <mergeCell ref="V3:V4"/>
    <mergeCell ref="K3:K4"/>
    <mergeCell ref="N3:N4"/>
    <mergeCell ref="O3:O4"/>
    <mergeCell ref="L3:L4"/>
    <mergeCell ref="P3:P4"/>
    <mergeCell ref="Q3:Q4"/>
    <mergeCell ref="R3:R4"/>
    <mergeCell ref="S3:S4"/>
    <mergeCell ref="T3:T4"/>
    <mergeCell ref="U3:U4"/>
  </mergeCells>
  <phoneticPr fontId="7" type="noConversion"/>
  <pageMargins left="0.7" right="0.7" top="0.75" bottom="0.75" header="0.3" footer="0.3"/>
  <pageSetup paperSize="9" scale="10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9</xdr:col>
                <xdr:colOff>0</xdr:colOff>
                <xdr:row>6</xdr:row>
                <xdr:rowOff>0</xdr:rowOff>
              </from>
              <to>
                <xdr:col>9</xdr:col>
                <xdr:colOff>160020</xdr:colOff>
                <xdr:row>7</xdr:row>
                <xdr:rowOff>99060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CA631-8D56-4318-86F1-C9C5B4450140}">
  <sheetPr>
    <tabColor theme="5"/>
  </sheetPr>
  <dimension ref="A1:W7"/>
  <sheetViews>
    <sheetView zoomScaleNormal="100" zoomScaleSheetLayoutView="70" workbookViewId="0">
      <pane xSplit="2" ySplit="5" topLeftCell="R6" activePane="bottomRight" state="frozen"/>
      <selection pane="topRight"/>
      <selection pane="bottomLeft" activeCell="A10" sqref="A10"/>
      <selection pane="bottomRight" activeCell="A7" sqref="A7:W7"/>
    </sheetView>
  </sheetViews>
  <sheetFormatPr defaultColWidth="9.21875" defaultRowHeight="20.100000000000001" customHeight="1" x14ac:dyDescent="0.3"/>
  <cols>
    <col min="1" max="1" width="11.77734375" style="18" customWidth="1"/>
    <col min="2" max="2" width="34.5546875" style="23" bestFit="1" customWidth="1"/>
    <col min="3" max="3" width="7.77734375" style="18" customWidth="1"/>
    <col min="4" max="4" width="10.21875" style="18" customWidth="1"/>
    <col min="5" max="5" width="9.21875" style="18" customWidth="1"/>
    <col min="6" max="6" width="13" style="18" customWidth="1"/>
    <col min="7" max="7" width="7.21875" style="18" customWidth="1"/>
    <col min="8" max="8" width="26.77734375" style="18" customWidth="1"/>
    <col min="9" max="9" width="40.77734375" style="24" customWidth="1"/>
    <col min="10" max="10" width="31.5546875" style="18" customWidth="1"/>
    <col min="11" max="11" width="18.77734375" style="18" customWidth="1"/>
    <col min="12" max="12" width="13.5546875" style="19" customWidth="1"/>
    <col min="13" max="13" width="15.77734375" style="19" customWidth="1"/>
    <col min="14" max="14" width="14.44140625" style="18" customWidth="1"/>
    <col min="15" max="15" width="14.21875" style="19" customWidth="1"/>
    <col min="16" max="16" width="22.77734375" style="18" customWidth="1"/>
    <col min="17" max="17" width="30.44140625" style="18" customWidth="1"/>
    <col min="18" max="18" width="41.21875" style="18" customWidth="1"/>
    <col min="19" max="19" width="42" style="18" customWidth="1"/>
    <col min="20" max="20" width="18.77734375" style="18" customWidth="1"/>
    <col min="21" max="21" width="19.77734375" style="18" customWidth="1"/>
    <col min="22" max="22" width="19.21875" style="18" bestFit="1" customWidth="1"/>
    <col min="23" max="23" width="13" style="25" customWidth="1"/>
    <col min="24" max="16384" width="9.21875" style="25"/>
  </cols>
  <sheetData>
    <row r="1" spans="1:23" customFormat="1" ht="61.2" x14ac:dyDescent="0.3">
      <c r="A1" s="21">
        <f>COUNTA(A6:A6)</f>
        <v>1</v>
      </c>
      <c r="B1" s="20"/>
      <c r="C1" s="7"/>
      <c r="D1" s="3"/>
      <c r="E1" s="3"/>
      <c r="F1" s="3"/>
      <c r="G1" s="3"/>
      <c r="H1" s="3"/>
      <c r="I1" s="16"/>
      <c r="J1" s="3"/>
      <c r="K1" s="3"/>
      <c r="L1" s="4"/>
      <c r="M1" s="4"/>
      <c r="N1" s="3"/>
      <c r="O1" s="4"/>
      <c r="P1" s="3"/>
      <c r="Q1" s="3"/>
      <c r="R1" s="3"/>
      <c r="S1" s="3"/>
      <c r="T1" s="3"/>
      <c r="U1" s="3"/>
      <c r="V1" s="3"/>
    </row>
    <row r="2" spans="1:23" customFormat="1" ht="18" customHeight="1" x14ac:dyDescent="0.3">
      <c r="A2" s="3"/>
      <c r="B2" s="6"/>
      <c r="C2" s="6"/>
      <c r="D2" s="22"/>
      <c r="E2" s="6"/>
      <c r="F2" s="6"/>
      <c r="G2" s="6"/>
      <c r="H2" s="3"/>
      <c r="I2" s="16"/>
      <c r="J2" s="3"/>
      <c r="K2" s="3"/>
      <c r="L2" s="4"/>
      <c r="M2" s="3"/>
      <c r="N2" s="3"/>
      <c r="O2" s="4"/>
      <c r="P2" s="5"/>
      <c r="Q2" s="3"/>
      <c r="R2" s="3"/>
      <c r="S2" s="3"/>
      <c r="T2" s="3"/>
      <c r="U2" s="3"/>
      <c r="V2" s="3"/>
    </row>
    <row r="3" spans="1:23" s="26" customFormat="1" ht="15.75" customHeight="1" x14ac:dyDescent="0.3">
      <c r="A3" s="35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33" t="s">
        <v>8</v>
      </c>
      <c r="J3" s="29" t="s">
        <v>9</v>
      </c>
      <c r="K3" s="29" t="s">
        <v>10</v>
      </c>
      <c r="L3" s="31" t="s">
        <v>11</v>
      </c>
      <c r="M3" s="31" t="s">
        <v>12</v>
      </c>
      <c r="N3" s="29" t="s">
        <v>13</v>
      </c>
      <c r="O3" s="31" t="s">
        <v>14</v>
      </c>
      <c r="P3" s="29" t="s">
        <v>15</v>
      </c>
      <c r="Q3" s="29" t="s">
        <v>16</v>
      </c>
      <c r="R3" s="29" t="s">
        <v>17</v>
      </c>
      <c r="S3" s="29" t="s">
        <v>18</v>
      </c>
      <c r="T3" s="29" t="s">
        <v>19</v>
      </c>
      <c r="U3" s="29" t="s">
        <v>39</v>
      </c>
      <c r="V3" s="29" t="s">
        <v>40</v>
      </c>
      <c r="W3" s="29" t="s">
        <v>38</v>
      </c>
    </row>
    <row r="4" spans="1:23" s="26" customFormat="1" ht="15.6" customHeight="1" x14ac:dyDescent="0.3">
      <c r="A4" s="35"/>
      <c r="B4" s="30"/>
      <c r="C4" s="30"/>
      <c r="D4" s="30"/>
      <c r="E4" s="30"/>
      <c r="F4" s="30"/>
      <c r="G4" s="30"/>
      <c r="H4" s="30"/>
      <c r="I4" s="34"/>
      <c r="J4" s="30"/>
      <c r="K4" s="30"/>
      <c r="L4" s="32"/>
      <c r="M4" s="32"/>
      <c r="N4" s="30"/>
      <c r="O4" s="32"/>
      <c r="P4" s="30"/>
      <c r="Q4" s="30"/>
      <c r="R4" s="30"/>
      <c r="S4" s="30"/>
      <c r="T4" s="30"/>
      <c r="U4" s="30"/>
      <c r="V4" s="30"/>
      <c r="W4" s="30"/>
    </row>
    <row r="5" spans="1:23" s="27" customFormat="1" ht="20.100000000000001" customHeight="1" x14ac:dyDescent="0.3">
      <c r="A5" s="8"/>
      <c r="B5" s="8"/>
      <c r="C5" s="9"/>
      <c r="D5" s="9"/>
      <c r="E5" s="9"/>
      <c r="F5" s="9"/>
      <c r="G5" s="9"/>
      <c r="H5" s="9"/>
      <c r="I5" s="17"/>
      <c r="J5" s="9"/>
      <c r="K5" s="9"/>
      <c r="L5" s="10"/>
      <c r="M5" s="10"/>
      <c r="N5" s="9"/>
      <c r="O5" s="10"/>
      <c r="P5" s="9"/>
      <c r="Q5" s="9"/>
      <c r="R5" s="9"/>
      <c r="S5" s="9"/>
      <c r="T5" s="9"/>
      <c r="U5" s="9"/>
      <c r="V5" s="9"/>
      <c r="W5" s="9"/>
    </row>
    <row r="6" spans="1:23" s="28" customFormat="1" ht="18" customHeight="1" x14ac:dyDescent="0.3">
      <c r="A6" s="2" t="s">
        <v>31</v>
      </c>
      <c r="B6" s="1" t="s">
        <v>32</v>
      </c>
      <c r="C6" s="2" t="s">
        <v>27</v>
      </c>
      <c r="D6" s="2" t="s">
        <v>24</v>
      </c>
      <c r="E6" s="2" t="s">
        <v>20</v>
      </c>
      <c r="F6" s="2" t="s">
        <v>21</v>
      </c>
      <c r="G6" s="2" t="s">
        <v>25</v>
      </c>
      <c r="H6" s="2" t="s">
        <v>33</v>
      </c>
      <c r="I6" s="15" t="s">
        <v>34</v>
      </c>
      <c r="J6" s="2" t="s">
        <v>30</v>
      </c>
      <c r="K6" s="11" t="s">
        <v>28</v>
      </c>
      <c r="L6" s="12">
        <v>44953</v>
      </c>
      <c r="M6" s="12">
        <v>44953</v>
      </c>
      <c r="N6" s="2" t="s">
        <v>22</v>
      </c>
      <c r="O6" s="13"/>
      <c r="P6" s="14" t="str">
        <f t="shared" ref="P6" ca="1" si="0">DATEDIF(L6,TODAY(),"y")&amp;"Tahun"&amp; DATEDIF(L6,TODAY(),"YM")&amp;"Bulan" &amp; DATEDIF(L6,TODAY(),"MD")&amp;"Hari"</f>
        <v>2Tahun5Bulan3Hari</v>
      </c>
      <c r="Q6" s="2" t="s">
        <v>29</v>
      </c>
      <c r="R6" s="2" t="s">
        <v>23</v>
      </c>
      <c r="S6" s="2" t="s">
        <v>35</v>
      </c>
      <c r="T6" s="2" t="s">
        <v>26</v>
      </c>
      <c r="U6" s="2" t="s">
        <v>36</v>
      </c>
      <c r="V6" s="2" t="s">
        <v>37</v>
      </c>
      <c r="W6" s="2"/>
    </row>
    <row r="7" spans="1:23" ht="20.100000000000001" customHeight="1" x14ac:dyDescent="0.3">
      <c r="A7" s="18" t="s">
        <v>0</v>
      </c>
      <c r="B7" s="23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24" t="s">
        <v>8</v>
      </c>
      <c r="J7" s="18" t="s">
        <v>9</v>
      </c>
      <c r="K7" s="18" t="s">
        <v>10</v>
      </c>
      <c r="L7" s="19" t="s">
        <v>11</v>
      </c>
      <c r="M7" s="19" t="s">
        <v>12</v>
      </c>
      <c r="N7" s="18" t="s">
        <v>13</v>
      </c>
      <c r="O7" s="19" t="s">
        <v>14</v>
      </c>
      <c r="P7" s="18" t="s">
        <v>15</v>
      </c>
      <c r="Q7" s="18" t="s">
        <v>16</v>
      </c>
      <c r="R7" s="18" t="s">
        <v>17</v>
      </c>
      <c r="S7" s="18" t="s">
        <v>41</v>
      </c>
      <c r="T7" s="18" t="s">
        <v>19</v>
      </c>
      <c r="U7" s="18" t="s">
        <v>42</v>
      </c>
      <c r="V7" s="18" t="s">
        <v>43</v>
      </c>
      <c r="W7" s="25" t="s">
        <v>38</v>
      </c>
    </row>
  </sheetData>
  <autoFilter ref="A5:V6" xr:uid="{00000000-0001-0000-0000-000000000000}"/>
  <mergeCells count="23">
    <mergeCell ref="A3:A4"/>
    <mergeCell ref="B3:B4"/>
    <mergeCell ref="N3:N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U3:U4"/>
    <mergeCell ref="V3:V4"/>
    <mergeCell ref="W3:W4"/>
    <mergeCell ref="O3:O4"/>
    <mergeCell ref="P3:P4"/>
    <mergeCell ref="Q3:Q4"/>
    <mergeCell ref="R3:R4"/>
    <mergeCell ref="S3:S4"/>
    <mergeCell ref="T3:T4"/>
  </mergeCells>
  <pageMargins left="0.7" right="0.7" top="0.75" bottom="0.75" header="0.3" footer="0.3"/>
  <pageSetup paperSize="9" scale="1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C4A2-8803-4C73-BCE4-DDC189870357}">
  <sheetPr>
    <tabColor theme="5"/>
  </sheetPr>
  <dimension ref="A1:V7"/>
  <sheetViews>
    <sheetView zoomScaleNormal="100" zoomScaleSheetLayoutView="70" workbookViewId="0">
      <pane xSplit="2" ySplit="5" topLeftCell="Q6" activePane="bottomRight" state="frozen"/>
      <selection pane="topRight"/>
      <selection pane="bottomLeft" activeCell="A10" sqref="A10"/>
      <selection pane="bottomRight" activeCell="A7" sqref="A7:V7"/>
    </sheetView>
  </sheetViews>
  <sheetFormatPr defaultColWidth="9.21875" defaultRowHeight="20.100000000000001" customHeight="1" x14ac:dyDescent="0.3"/>
  <cols>
    <col min="1" max="1" width="11.77734375" style="18" customWidth="1"/>
    <col min="2" max="2" width="34.5546875" style="23" bestFit="1" customWidth="1"/>
    <col min="3" max="3" width="7.77734375" style="18" customWidth="1"/>
    <col min="4" max="4" width="10.21875" style="18" customWidth="1"/>
    <col min="5" max="5" width="9.21875" style="18" customWidth="1"/>
    <col min="6" max="6" width="13" style="18" customWidth="1"/>
    <col min="7" max="7" width="7.21875" style="18" customWidth="1"/>
    <col min="8" max="8" width="26.77734375" style="18" customWidth="1"/>
    <col min="9" max="9" width="40.77734375" style="24" customWidth="1"/>
    <col min="10" max="10" width="31.5546875" style="18" customWidth="1"/>
    <col min="11" max="11" width="18.77734375" style="18" customWidth="1"/>
    <col min="12" max="12" width="13.5546875" style="19" customWidth="1"/>
    <col min="13" max="13" width="15.77734375" style="19" customWidth="1"/>
    <col min="14" max="14" width="14.44140625" style="18" customWidth="1"/>
    <col min="15" max="15" width="14.21875" style="19" customWidth="1"/>
    <col min="16" max="16" width="22.77734375" style="18" customWidth="1"/>
    <col min="17" max="17" width="30.44140625" style="18" customWidth="1"/>
    <col min="18" max="18" width="41.21875" style="18" customWidth="1"/>
    <col min="19" max="19" width="42" style="18" customWidth="1"/>
    <col min="20" max="20" width="18.77734375" style="18" customWidth="1"/>
    <col min="21" max="21" width="19.77734375" style="18" customWidth="1"/>
    <col min="22" max="22" width="19.21875" style="18" bestFit="1" customWidth="1"/>
    <col min="23" max="16384" width="9.21875" style="25"/>
  </cols>
  <sheetData>
    <row r="1" spans="1:22" customFormat="1" ht="61.2" x14ac:dyDescent="0.3">
      <c r="A1" s="21">
        <f>COUNTA(A6:A6)</f>
        <v>1</v>
      </c>
      <c r="B1" s="20"/>
      <c r="C1" s="7"/>
      <c r="D1" s="3"/>
      <c r="E1" s="3"/>
      <c r="F1" s="3"/>
      <c r="G1" s="3"/>
      <c r="H1" s="3"/>
      <c r="I1" s="16"/>
      <c r="J1" s="3"/>
      <c r="K1" s="3"/>
      <c r="L1" s="4"/>
      <c r="M1" s="4"/>
      <c r="N1" s="3"/>
      <c r="O1" s="4"/>
      <c r="P1" s="3"/>
      <c r="Q1" s="3"/>
      <c r="R1" s="3"/>
      <c r="S1" s="3"/>
      <c r="T1" s="3"/>
      <c r="U1" s="3"/>
      <c r="V1" s="3"/>
    </row>
    <row r="2" spans="1:22" customFormat="1" ht="18" customHeight="1" x14ac:dyDescent="0.3">
      <c r="A2" s="3"/>
      <c r="B2" s="6"/>
      <c r="C2" s="6"/>
      <c r="D2" s="22"/>
      <c r="E2" s="6"/>
      <c r="F2" s="6"/>
      <c r="G2" s="6"/>
      <c r="H2" s="3"/>
      <c r="I2" s="16"/>
      <c r="J2" s="3"/>
      <c r="K2" s="3"/>
      <c r="L2" s="4"/>
      <c r="M2" s="3"/>
      <c r="N2" s="3"/>
      <c r="O2" s="4"/>
      <c r="P2" s="5"/>
      <c r="Q2" s="3"/>
      <c r="R2" s="3"/>
      <c r="S2" s="3"/>
      <c r="T2" s="3"/>
      <c r="U2" s="3"/>
      <c r="V2" s="3"/>
    </row>
    <row r="3" spans="1:22" s="26" customFormat="1" ht="15.75" customHeight="1" x14ac:dyDescent="0.3">
      <c r="A3" s="35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33" t="s">
        <v>8</v>
      </c>
      <c r="J3" s="29" t="s">
        <v>9</v>
      </c>
      <c r="K3" s="29" t="s">
        <v>10</v>
      </c>
      <c r="L3" s="31" t="s">
        <v>11</v>
      </c>
      <c r="M3" s="31" t="s">
        <v>12</v>
      </c>
      <c r="N3" s="29" t="s">
        <v>13</v>
      </c>
      <c r="O3" s="31" t="s">
        <v>14</v>
      </c>
      <c r="P3" s="29" t="s">
        <v>15</v>
      </c>
      <c r="Q3" s="29" t="s">
        <v>16</v>
      </c>
      <c r="R3" s="29" t="s">
        <v>17</v>
      </c>
      <c r="S3" s="29" t="s">
        <v>18</v>
      </c>
      <c r="T3" s="29" t="s">
        <v>19</v>
      </c>
      <c r="U3" s="29" t="s">
        <v>39</v>
      </c>
      <c r="V3" s="29" t="s">
        <v>40</v>
      </c>
    </row>
    <row r="4" spans="1:22" s="26" customFormat="1" ht="15.6" customHeight="1" x14ac:dyDescent="0.3">
      <c r="A4" s="35"/>
      <c r="B4" s="30"/>
      <c r="C4" s="30"/>
      <c r="D4" s="30"/>
      <c r="E4" s="30"/>
      <c r="F4" s="30"/>
      <c r="G4" s="30"/>
      <c r="H4" s="30"/>
      <c r="I4" s="34"/>
      <c r="J4" s="30"/>
      <c r="K4" s="30"/>
      <c r="L4" s="32"/>
      <c r="M4" s="32"/>
      <c r="N4" s="30"/>
      <c r="O4" s="32"/>
      <c r="P4" s="30"/>
      <c r="Q4" s="30"/>
      <c r="R4" s="30"/>
      <c r="S4" s="30"/>
      <c r="T4" s="30"/>
      <c r="U4" s="30"/>
      <c r="V4" s="30"/>
    </row>
    <row r="5" spans="1:22" s="27" customFormat="1" ht="20.100000000000001" customHeight="1" x14ac:dyDescent="0.3">
      <c r="A5" s="8"/>
      <c r="B5" s="8"/>
      <c r="C5" s="9"/>
      <c r="D5" s="9"/>
      <c r="E5" s="9"/>
      <c r="F5" s="9"/>
      <c r="G5" s="9"/>
      <c r="H5" s="9"/>
      <c r="I5" s="17"/>
      <c r="J5" s="9"/>
      <c r="K5" s="9"/>
      <c r="L5" s="10"/>
      <c r="M5" s="10"/>
      <c r="N5" s="9"/>
      <c r="O5" s="10"/>
      <c r="P5" s="9"/>
      <c r="Q5" s="9"/>
      <c r="R5" s="9"/>
      <c r="S5" s="9"/>
      <c r="T5" s="9"/>
      <c r="U5" s="9"/>
      <c r="V5" s="9"/>
    </row>
    <row r="6" spans="1:22" s="28" customFormat="1" ht="18" customHeight="1" x14ac:dyDescent="0.3">
      <c r="A6" s="2" t="s">
        <v>31</v>
      </c>
      <c r="B6" s="1" t="s">
        <v>32</v>
      </c>
      <c r="C6" s="2" t="s">
        <v>27</v>
      </c>
      <c r="D6" s="2" t="s">
        <v>24</v>
      </c>
      <c r="E6" s="2" t="s">
        <v>20</v>
      </c>
      <c r="F6" s="2" t="s">
        <v>21</v>
      </c>
      <c r="G6" s="2" t="s">
        <v>25</v>
      </c>
      <c r="H6" s="2" t="s">
        <v>33</v>
      </c>
      <c r="I6" s="15" t="s">
        <v>34</v>
      </c>
      <c r="J6" s="2" t="s">
        <v>30</v>
      </c>
      <c r="K6" s="11" t="s">
        <v>28</v>
      </c>
      <c r="L6" s="12">
        <v>44953</v>
      </c>
      <c r="M6" s="12">
        <v>44953</v>
      </c>
      <c r="N6" s="2" t="s">
        <v>22</v>
      </c>
      <c r="O6" s="13"/>
      <c r="P6" s="14" t="str">
        <f t="shared" ref="P6" ca="1" si="0">DATEDIF(L6,TODAY(),"y")&amp;"Tahun"&amp; DATEDIF(L6,TODAY(),"YM")&amp;"Bulan" &amp; DATEDIF(L6,TODAY(),"MD")&amp;"Hari"</f>
        <v>2Tahun5Bulan3Hari</v>
      </c>
      <c r="Q6" s="2" t="s">
        <v>29</v>
      </c>
      <c r="R6" s="2" t="s">
        <v>23</v>
      </c>
      <c r="S6" s="2" t="s">
        <v>35</v>
      </c>
      <c r="T6" s="2" t="s">
        <v>26</v>
      </c>
      <c r="U6" s="2" t="s">
        <v>36</v>
      </c>
      <c r="V6" s="2" t="s">
        <v>37</v>
      </c>
    </row>
    <row r="7" spans="1:22" ht="20.100000000000001" customHeight="1" x14ac:dyDescent="0.3">
      <c r="A7" s="18" t="s">
        <v>0</v>
      </c>
      <c r="B7" s="23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24" t="s">
        <v>8</v>
      </c>
      <c r="J7" s="18" t="s">
        <v>9</v>
      </c>
      <c r="K7" s="18" t="s">
        <v>10</v>
      </c>
      <c r="L7" s="19" t="s">
        <v>11</v>
      </c>
      <c r="M7" s="19" t="s">
        <v>12</v>
      </c>
      <c r="N7" s="18" t="s">
        <v>13</v>
      </c>
      <c r="O7" s="19" t="s">
        <v>14</v>
      </c>
      <c r="P7" s="18" t="s">
        <v>15</v>
      </c>
      <c r="Q7" s="18" t="s">
        <v>16</v>
      </c>
      <c r="R7" s="18" t="s">
        <v>17</v>
      </c>
      <c r="S7" s="18" t="s">
        <v>41</v>
      </c>
      <c r="T7" s="18" t="s">
        <v>19</v>
      </c>
      <c r="U7" s="18" t="s">
        <v>39</v>
      </c>
      <c r="V7" s="18" t="s">
        <v>40</v>
      </c>
    </row>
  </sheetData>
  <autoFilter ref="A5:V6" xr:uid="{00000000-0001-0000-0000-000000000000}"/>
  <mergeCells count="22"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S3:S4"/>
    <mergeCell ref="T3:T4"/>
    <mergeCell ref="U3:U4"/>
    <mergeCell ref="V3:V4"/>
    <mergeCell ref="M3:M4"/>
    <mergeCell ref="N3:N4"/>
    <mergeCell ref="O3:O4"/>
    <mergeCell ref="P3:P4"/>
    <mergeCell ref="Q3:Q4"/>
    <mergeCell ref="R3:R4"/>
  </mergeCells>
  <pageMargins left="0.7" right="0.7" top="0.75" bottom="0.75" header="0.3" footer="0.3"/>
  <pageSetup paperSize="9" scale="1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E7DA4-29BF-4DCB-AF20-7ADF864D2E6C}">
  <sheetPr>
    <tabColor theme="5"/>
  </sheetPr>
  <dimension ref="A1:W7"/>
  <sheetViews>
    <sheetView tabSelected="1" zoomScaleNormal="100" zoomScaleSheetLayoutView="70" workbookViewId="0">
      <pane xSplit="2" ySplit="5" topLeftCell="R6" activePane="bottomRight" state="frozen"/>
      <selection pane="topRight"/>
      <selection pane="bottomLeft" activeCell="A10" sqref="A10"/>
      <selection pane="bottomRight" activeCell="A7" sqref="A7:W7"/>
    </sheetView>
  </sheetViews>
  <sheetFormatPr defaultColWidth="9.21875" defaultRowHeight="20.100000000000001" customHeight="1" x14ac:dyDescent="0.3"/>
  <cols>
    <col min="1" max="1" width="11.77734375" style="18" customWidth="1"/>
    <col min="2" max="2" width="34.5546875" style="23" bestFit="1" customWidth="1"/>
    <col min="3" max="3" width="7.77734375" style="18" customWidth="1"/>
    <col min="4" max="4" width="10.21875" style="18" customWidth="1"/>
    <col min="5" max="5" width="9.21875" style="18" customWidth="1"/>
    <col min="6" max="6" width="13" style="18" customWidth="1"/>
    <col min="7" max="7" width="7.21875" style="18" customWidth="1"/>
    <col min="8" max="8" width="26.77734375" style="18" customWidth="1"/>
    <col min="9" max="9" width="40.77734375" style="24" customWidth="1"/>
    <col min="10" max="10" width="31.5546875" style="18" customWidth="1"/>
    <col min="11" max="11" width="18.77734375" style="18" customWidth="1"/>
    <col min="12" max="12" width="13.5546875" style="19" customWidth="1"/>
    <col min="13" max="13" width="15.77734375" style="19" customWidth="1"/>
    <col min="14" max="14" width="14.44140625" style="18" customWidth="1"/>
    <col min="15" max="15" width="14.21875" style="19" customWidth="1"/>
    <col min="16" max="16" width="22.77734375" style="18" customWidth="1"/>
    <col min="17" max="17" width="30.44140625" style="18" customWidth="1"/>
    <col min="18" max="18" width="41.21875" style="18" customWidth="1"/>
    <col min="19" max="19" width="42" style="18" customWidth="1"/>
    <col min="20" max="20" width="18.77734375" style="18" customWidth="1"/>
    <col min="21" max="21" width="19.77734375" style="18" customWidth="1"/>
    <col min="22" max="22" width="19.21875" style="18" bestFit="1" customWidth="1"/>
    <col min="23" max="23" width="13" style="25" customWidth="1"/>
    <col min="24" max="16384" width="9.21875" style="25"/>
  </cols>
  <sheetData>
    <row r="1" spans="1:23" customFormat="1" ht="61.2" x14ac:dyDescent="0.3">
      <c r="A1" s="21">
        <f>COUNTA(A6:A6)</f>
        <v>1</v>
      </c>
      <c r="B1" s="20"/>
      <c r="C1" s="7"/>
      <c r="D1" s="3"/>
      <c r="E1" s="3"/>
      <c r="F1" s="3"/>
      <c r="G1" s="3"/>
      <c r="H1" s="3"/>
      <c r="I1" s="16"/>
      <c r="J1" s="3"/>
      <c r="K1" s="3"/>
      <c r="L1" s="4"/>
      <c r="M1" s="4"/>
      <c r="N1" s="3"/>
      <c r="O1" s="4"/>
      <c r="P1" s="3"/>
      <c r="Q1" s="3"/>
      <c r="R1" s="3"/>
      <c r="S1" s="3"/>
      <c r="T1" s="3"/>
      <c r="U1" s="3"/>
      <c r="V1" s="3"/>
    </row>
    <row r="2" spans="1:23" customFormat="1" ht="18" customHeight="1" x14ac:dyDescent="0.3">
      <c r="A2" s="3"/>
      <c r="B2" s="6"/>
      <c r="C2" s="6"/>
      <c r="D2" s="22"/>
      <c r="E2" s="6"/>
      <c r="F2" s="6"/>
      <c r="G2" s="6"/>
      <c r="H2" s="3"/>
      <c r="I2" s="16"/>
      <c r="J2" s="3"/>
      <c r="K2" s="3"/>
      <c r="L2" s="4"/>
      <c r="M2" s="3"/>
      <c r="N2" s="3"/>
      <c r="O2" s="4"/>
      <c r="P2" s="5"/>
      <c r="Q2" s="3"/>
      <c r="R2" s="3"/>
      <c r="S2" s="3"/>
      <c r="T2" s="3"/>
      <c r="U2" s="3"/>
      <c r="V2" s="3"/>
    </row>
    <row r="3" spans="1:23" s="26" customFormat="1" ht="15.75" customHeight="1" x14ac:dyDescent="0.3">
      <c r="A3" s="35" t="s">
        <v>0</v>
      </c>
      <c r="B3" s="29" t="s">
        <v>1</v>
      </c>
      <c r="C3" s="29" t="s">
        <v>2</v>
      </c>
      <c r="D3" s="29" t="s">
        <v>3</v>
      </c>
      <c r="E3" s="29" t="s">
        <v>4</v>
      </c>
      <c r="F3" s="29" t="s">
        <v>5</v>
      </c>
      <c r="G3" s="29" t="s">
        <v>6</v>
      </c>
      <c r="H3" s="29" t="s">
        <v>7</v>
      </c>
      <c r="I3" s="33" t="s">
        <v>8</v>
      </c>
      <c r="J3" s="29" t="s">
        <v>9</v>
      </c>
      <c r="K3" s="29" t="s">
        <v>10</v>
      </c>
      <c r="L3" s="31" t="s">
        <v>11</v>
      </c>
      <c r="M3" s="31" t="s">
        <v>12</v>
      </c>
      <c r="N3" s="29" t="s">
        <v>13</v>
      </c>
      <c r="O3" s="31" t="s">
        <v>14</v>
      </c>
      <c r="P3" s="29" t="s">
        <v>15</v>
      </c>
      <c r="Q3" s="29" t="s">
        <v>16</v>
      </c>
      <c r="R3" s="29" t="s">
        <v>17</v>
      </c>
      <c r="S3" s="29" t="s">
        <v>18</v>
      </c>
      <c r="T3" s="29" t="s">
        <v>19</v>
      </c>
      <c r="U3" s="29" t="s">
        <v>39</v>
      </c>
      <c r="V3" s="29" t="s">
        <v>40</v>
      </c>
      <c r="W3" s="29" t="s">
        <v>38</v>
      </c>
    </row>
    <row r="4" spans="1:23" s="26" customFormat="1" ht="15.6" customHeight="1" x14ac:dyDescent="0.3">
      <c r="A4" s="35"/>
      <c r="B4" s="30"/>
      <c r="C4" s="30"/>
      <c r="D4" s="30"/>
      <c r="E4" s="30"/>
      <c r="F4" s="30"/>
      <c r="G4" s="30"/>
      <c r="H4" s="30"/>
      <c r="I4" s="34"/>
      <c r="J4" s="30"/>
      <c r="K4" s="30"/>
      <c r="L4" s="32"/>
      <c r="M4" s="32"/>
      <c r="N4" s="30"/>
      <c r="O4" s="32"/>
      <c r="P4" s="30"/>
      <c r="Q4" s="30"/>
      <c r="R4" s="30"/>
      <c r="S4" s="30"/>
      <c r="T4" s="30"/>
      <c r="U4" s="30"/>
      <c r="V4" s="30"/>
      <c r="W4" s="30"/>
    </row>
    <row r="5" spans="1:23" s="27" customFormat="1" ht="20.100000000000001" customHeight="1" x14ac:dyDescent="0.3">
      <c r="A5" s="8"/>
      <c r="B5" s="8"/>
      <c r="C5" s="9"/>
      <c r="D5" s="9"/>
      <c r="E5" s="9"/>
      <c r="F5" s="9"/>
      <c r="G5" s="9"/>
      <c r="H5" s="9"/>
      <c r="I5" s="17"/>
      <c r="J5" s="9"/>
      <c r="K5" s="9"/>
      <c r="L5" s="10"/>
      <c r="M5" s="10"/>
      <c r="N5" s="9"/>
      <c r="O5" s="10"/>
      <c r="P5" s="9"/>
      <c r="Q5" s="9"/>
      <c r="R5" s="9"/>
      <c r="S5" s="9"/>
      <c r="T5" s="9"/>
      <c r="U5" s="9"/>
      <c r="V5" s="9"/>
      <c r="W5" s="9"/>
    </row>
    <row r="6" spans="1:23" s="28" customFormat="1" ht="18" customHeight="1" x14ac:dyDescent="0.3">
      <c r="A6" s="2" t="s">
        <v>31</v>
      </c>
      <c r="B6" s="1" t="s">
        <v>32</v>
      </c>
      <c r="C6" s="2" t="s">
        <v>27</v>
      </c>
      <c r="D6" s="2" t="s">
        <v>24</v>
      </c>
      <c r="E6" s="2" t="s">
        <v>20</v>
      </c>
      <c r="F6" s="2" t="s">
        <v>21</v>
      </c>
      <c r="G6" s="2" t="s">
        <v>25</v>
      </c>
      <c r="H6" s="2" t="s">
        <v>33</v>
      </c>
      <c r="I6" s="15" t="s">
        <v>34</v>
      </c>
      <c r="J6" s="2" t="s">
        <v>30</v>
      </c>
      <c r="K6" s="11" t="s">
        <v>28</v>
      </c>
      <c r="L6" s="12">
        <v>44953</v>
      </c>
      <c r="M6" s="12">
        <v>44953</v>
      </c>
      <c r="N6" s="2" t="s">
        <v>22</v>
      </c>
      <c r="O6" s="13"/>
      <c r="P6" s="14" t="str">
        <f t="shared" ref="P6" ca="1" si="0">DATEDIF(L6,TODAY(),"y")&amp;"Tahun"&amp; DATEDIF(L6,TODAY(),"YM")&amp;"Bulan" &amp; DATEDIF(L6,TODAY(),"MD")&amp;"Hari"</f>
        <v>2Tahun5Bulan3Hari</v>
      </c>
      <c r="Q6" s="2" t="s">
        <v>29</v>
      </c>
      <c r="R6" s="2" t="s">
        <v>23</v>
      </c>
      <c r="S6" s="2" t="s">
        <v>35</v>
      </c>
      <c r="T6" s="2" t="s">
        <v>26</v>
      </c>
      <c r="U6" s="2" t="s">
        <v>36</v>
      </c>
      <c r="V6" s="2" t="s">
        <v>37</v>
      </c>
      <c r="W6" s="2"/>
    </row>
    <row r="7" spans="1:23" ht="20.100000000000001" customHeight="1" x14ac:dyDescent="0.3">
      <c r="A7" s="18" t="s">
        <v>0</v>
      </c>
      <c r="B7" s="23" t="s">
        <v>1</v>
      </c>
      <c r="C7" s="18" t="s">
        <v>2</v>
      </c>
      <c r="D7" s="18" t="s">
        <v>3</v>
      </c>
      <c r="E7" s="18" t="s">
        <v>4</v>
      </c>
      <c r="F7" s="18" t="s">
        <v>5</v>
      </c>
      <c r="G7" s="18" t="s">
        <v>6</v>
      </c>
      <c r="H7" s="18" t="s">
        <v>7</v>
      </c>
      <c r="I7" s="24" t="s">
        <v>8</v>
      </c>
      <c r="J7" s="18" t="s">
        <v>9</v>
      </c>
      <c r="K7" s="18" t="s">
        <v>10</v>
      </c>
      <c r="L7" s="19" t="s">
        <v>11</v>
      </c>
      <c r="M7" s="19" t="s">
        <v>12</v>
      </c>
      <c r="N7" s="18" t="s">
        <v>13</v>
      </c>
      <c r="O7" s="19" t="s">
        <v>14</v>
      </c>
      <c r="P7" s="18" t="s">
        <v>15</v>
      </c>
      <c r="Q7" s="18" t="s">
        <v>16</v>
      </c>
      <c r="R7" s="18" t="s">
        <v>17</v>
      </c>
      <c r="S7" s="18" t="s">
        <v>41</v>
      </c>
      <c r="T7" s="18" t="s">
        <v>19</v>
      </c>
      <c r="U7" s="18" t="s">
        <v>39</v>
      </c>
      <c r="V7" s="18" t="s">
        <v>40</v>
      </c>
      <c r="W7" s="25" t="s">
        <v>38</v>
      </c>
    </row>
  </sheetData>
  <autoFilter ref="A5:V6" xr:uid="{00000000-0001-0000-0000-000000000000}"/>
  <mergeCells count="23">
    <mergeCell ref="F3:F4"/>
    <mergeCell ref="A3:A4"/>
    <mergeCell ref="B3:B4"/>
    <mergeCell ref="C3:C4"/>
    <mergeCell ref="D3:D4"/>
    <mergeCell ref="E3:E4"/>
    <mergeCell ref="R3:R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S3:S4"/>
    <mergeCell ref="T3:T4"/>
    <mergeCell ref="U3:U4"/>
    <mergeCell ref="V3:V4"/>
    <mergeCell ref="W3:W4"/>
  </mergeCells>
  <pageMargins left="0.7" right="0.7" top="0.75" bottom="0.75" header="0.3" footer="0.3"/>
  <pageSetup paperSize="9" scale="10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764A30C772DD4AA1D3DC57DEFA1EE8" ma:contentTypeVersion="11" ma:contentTypeDescription="Create a new document." ma:contentTypeScope="" ma:versionID="cd0f8763dc5d7333dc918e1a184a75e4">
  <xsd:schema xmlns:xsd="http://www.w3.org/2001/XMLSchema" xmlns:xs="http://www.w3.org/2001/XMLSchema" xmlns:p="http://schemas.microsoft.com/office/2006/metadata/properties" xmlns:ns2="cee8632b-bd1c-4f72-9f23-78e3e339763c" xmlns:ns3="baccbb9f-86db-474f-9f9e-ad75b3e2e942" targetNamespace="http://schemas.microsoft.com/office/2006/metadata/properties" ma:root="true" ma:fieldsID="7726799416c4ec2ef88ddabebd413b61" ns2:_="" ns3:_="">
    <xsd:import namespace="cee8632b-bd1c-4f72-9f23-78e3e339763c"/>
    <xsd:import namespace="baccbb9f-86db-474f-9f9e-ad75b3e2e94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8632b-bd1c-4f72-9f23-78e3e3397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2af2abb-527b-4192-bd9c-ac4d34f7e5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ccbb9f-86db-474f-9f9e-ad75b3e2e94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7c64afc-1e4d-4267-ad7f-7f94b6cd7248}" ma:internalName="TaxCatchAll" ma:showField="CatchAllData" ma:web="baccbb9f-86db-474f-9f9e-ad75b3e2e94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e8632b-bd1c-4f72-9f23-78e3e339763c">
      <Terms xmlns="http://schemas.microsoft.com/office/infopath/2007/PartnerControls"/>
    </lcf76f155ced4ddcb4097134ff3c332f>
    <TaxCatchAll xmlns="baccbb9f-86db-474f-9f9e-ad75b3e2e942" xsi:nil="true"/>
  </documentManagement>
</p:properties>
</file>

<file path=customXml/itemProps1.xml><?xml version="1.0" encoding="utf-8"?>
<ds:datastoreItem xmlns:ds="http://schemas.openxmlformats.org/officeDocument/2006/customXml" ds:itemID="{C83FD86B-8A2F-4C34-A3DB-FBB5DEFFBA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e8632b-bd1c-4f72-9f23-78e3e339763c"/>
    <ds:schemaRef ds:uri="baccbb9f-86db-474f-9f9e-ad75b3e2e9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A5D9C3-3E99-4A55-BC11-7E86B55B3F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196E8F-FEA2-45F8-AEA0-337C2E239592}">
  <ds:schemaRefs>
    <ds:schemaRef ds:uri="http://schemas.microsoft.com/office/2006/metadata/properties"/>
    <ds:schemaRef ds:uri="http://schemas.microsoft.com/office/infopath/2007/PartnerControls"/>
    <ds:schemaRef ds:uri="cee8632b-bd1c-4f72-9f23-78e3e339763c"/>
    <ds:schemaRef ds:uri="baccbb9f-86db-474f-9f9e-ad75b3e2e94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Active Empl (IND)</vt:lpstr>
      <vt:lpstr>Non Active (IND)</vt:lpstr>
      <vt:lpstr>Active Empl (CHN)</vt:lpstr>
      <vt:lpstr>Non Active (CHN)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Indah Mutia Ayudita [MTI]</cp:lastModifiedBy>
  <cp:revision/>
  <dcterms:created xsi:type="dcterms:W3CDTF">2022-12-22T03:01:01Z</dcterms:created>
  <dcterms:modified xsi:type="dcterms:W3CDTF">2025-06-30T06:11:55Z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0x0101006A764A30C772DD4AA1D3DC57DEFA1EE8</vt:lpwstr>
  </property>
</Properties>
</file>